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27E1C190-E014-4CB9-B3B8-65A4BCFF63FF}" xr6:coauthVersionLast="47" xr6:coauthVersionMax="47" xr10:uidLastSave="{00000000-0000-0000-0000-000000000000}"/>
  <bookViews>
    <workbookView xWindow="-28920" yWindow="-1410" windowWidth="29040" windowHeight="15720" xr2:uid="{00000000-000D-0000-FFFF-FFFF00000000}"/>
  </bookViews>
  <sheets>
    <sheet name="Analises" sheetId="1" r:id="rId1"/>
    <sheet name="Instruções" sheetId="2" r:id="rId2"/>
    <sheet name="Planilha1" sheetId="3" r:id="rId3"/>
  </sheets>
  <definedNames>
    <definedName name="_xlnm._FilterDatabase" localSheetId="0" hidden="1">Analises!$A$1:$G$84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4" i="1" l="1"/>
  <c r="K65" i="1"/>
  <c r="K66" i="1"/>
  <c r="K67" i="1"/>
  <c r="K68" i="1"/>
  <c r="K69" i="1"/>
  <c r="K70" i="1"/>
  <c r="K71" i="1"/>
  <c r="K63" i="1"/>
  <c r="K62" i="1"/>
  <c r="K79" i="1"/>
  <c r="K78" i="1"/>
  <c r="K77" i="1"/>
  <c r="K76" i="1"/>
  <c r="K75" i="1"/>
  <c r="K74" i="1"/>
  <c r="K73" i="1"/>
  <c r="K7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83" i="1"/>
  <c r="K82" i="1"/>
  <c r="K81" i="1"/>
  <c r="K80" i="1"/>
  <c r="K45" i="1"/>
  <c r="K44" i="1"/>
  <c r="K43" i="1"/>
  <c r="K42" i="1"/>
  <c r="K41" i="1"/>
  <c r="K40" i="1"/>
  <c r="K22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1" i="1"/>
  <c r="K20" i="1"/>
  <c r="K19" i="1"/>
  <c r="K18" i="1"/>
  <c r="K17" i="1"/>
  <c r="K16" i="1"/>
  <c r="K15" i="1"/>
  <c r="K14" i="1"/>
  <c r="K13" i="1"/>
  <c r="K3" i="1"/>
  <c r="K4" i="1"/>
  <c r="K5" i="1"/>
  <c r="K6" i="1"/>
  <c r="K7" i="1"/>
  <c r="K8" i="1"/>
  <c r="K9" i="1"/>
  <c r="K10" i="1"/>
  <c r="K11" i="1"/>
  <c r="K12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2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</calcChain>
</file>

<file path=xl/sharedStrings.xml><?xml version="1.0" encoding="utf-8"?>
<sst xmlns="http://schemas.openxmlformats.org/spreadsheetml/2006/main" count="1120" uniqueCount="596">
  <si>
    <t>Data (DD/MM/AAAA)</t>
  </si>
  <si>
    <t>Nº OP</t>
  </si>
  <si>
    <t>Nº Série</t>
  </si>
  <si>
    <t>Modelo</t>
  </si>
  <si>
    <t>Código Sapiens</t>
  </si>
  <si>
    <t>Status</t>
  </si>
  <si>
    <t>Parecer (texto livre)</t>
  </si>
  <si>
    <t>CM-LED</t>
  </si>
  <si>
    <t>FNT0001</t>
  </si>
  <si>
    <t>conforme</t>
  </si>
  <si>
    <t>CAM0001</t>
  </si>
  <si>
    <t>GRA0002</t>
  </si>
  <si>
    <t>IMPORTAÇÃO DE ANÁLISES MANUAIS — Confiance Medical</t>
  </si>
  <si>
    <t/>
  </si>
  <si>
    <t>Use esta planilha para importar análises de OPs que foram feitas manualmente ANTES da plataforma.</t>
  </si>
  <si>
    <t>Cada linha é uma análise. Apague as 3 linhas de exemplo (em cinza/itálico) antes de salvar.</t>
  </si>
  <si>
    <t>COLUNAS:</t>
  </si>
  <si>
    <t>1. Data (DD/MM/AAAA) — quando a análise foi feita. Obrigatório. Aceita "15/01/2026" ou "15-01-2026".</t>
  </si>
  <si>
    <t>2. Nº OP — número da OP analisada. Obrigatório. Ex.: 6500.</t>
  </si>
  <si>
    <t>3. Nº Série — número de série completo (com prefixo e sufixo). Obrigatório. Ex.: LEDT-202601-0001.</t>
  </si>
  <si>
    <t>4. Modelo — modelo do produto. Obrigatório. Use o mesmo modelo do catálogo. Ex.: CM-LED.</t>
  </si>
  <si>
    <t>5. Código Sapiens — código Sapiens do produto. Opcional, mas recomendado pra cruzar com o catálogo. Ex.: FNT0001.</t>
  </si>
  <si>
    <t>6. Status — exatamente um dos três valores em minúsculas:</t>
  </si>
  <si>
    <t xml:space="preserve">     • conforme — análise OK, sem ressalvas.</t>
  </si>
  <si>
    <t xml:space="preserve">     • ressalva — análise com pendência aceitável.</t>
  </si>
  <si>
    <t xml:space="preserve">     • nao_conforme — análise com bloqueador (a OP foi devolvida ou corrigida).</t>
  </si>
  <si>
    <t>7. Parecer (texto livre) — descrição do que foi avaliado e da conclusão. Obrigatório.</t>
  </si>
  <si>
    <t>DEPOIS DE PREENCHER:</t>
  </si>
  <si>
    <t>1. Vá na Plataforma → Histórico → "Importar análises manuais".</t>
  </si>
  <si>
    <t>2. Selecione este arquivo. A plataforma valida cada linha e mostra uma prévia.</t>
  </si>
  <si>
    <t>3. Confirme. Cada linha vira uma análise no histórico, com ícone "M" (manual) ao lado do status.</t>
  </si>
  <si>
    <t>4. Os indicadores do Dashboard passam a incluir essas análises automaticamente.</t>
  </si>
  <si>
    <t>OBSERVAÇÕES:</t>
  </si>
  <si>
    <t>• Análises com mesmo (Nº OP + Nº Série) JÁ existentes na plataforma são puladas no import.</t>
  </si>
  <si>
    <t>• A coluna "Status" não aceita acentos nem espaços. Use "nao_conforme", não "não conforme".</t>
  </si>
  <si>
    <t>• O Modelo precisa existir no catálogo. Cadastre antes pelo menu Cadastro se necessário.</t>
  </si>
  <si>
    <t>Radical</t>
  </si>
  <si>
    <t>Modelos</t>
  </si>
  <si>
    <t>Família</t>
  </si>
  <si>
    <t>CM100-</t>
  </si>
  <si>
    <t>CM-100</t>
  </si>
  <si>
    <t>ACESSÓRIO PARA ESCAPE DE FUMAÇA</t>
  </si>
  <si>
    <t>CM40T-</t>
  </si>
  <si>
    <t>CM-40L</t>
  </si>
  <si>
    <t>INSUFLADOR DE CO2</t>
  </si>
  <si>
    <t>CMEND-</t>
  </si>
  <si>
    <t>CM-ENDOCO2</t>
  </si>
  <si>
    <t>INSUFLADOR DE CO2 PARA ENDOSCOPIA</t>
  </si>
  <si>
    <t>CMFLE-</t>
  </si>
  <si>
    <t>CM-UROVIEW</t>
  </si>
  <si>
    <t>SISTEMA DE VÍDEO URETERORRENOSCÓPIO DIGITAL</t>
  </si>
  <si>
    <t>CMFLOW</t>
  </si>
  <si>
    <t>CM-FLOW</t>
  </si>
  <si>
    <t>INSUFLADOR DE LÍQUIDO PARA ENDOSCOPIA</t>
  </si>
  <si>
    <t>CMLIT-</t>
  </si>
  <si>
    <t>CM-UROLIT</t>
  </si>
  <si>
    <t>LITOTRITOR BALÍSTICO PNEUMÁTICO</t>
  </si>
  <si>
    <t>CMST-2</t>
  </si>
  <si>
    <t>CM-STATION</t>
  </si>
  <si>
    <t>SISTEMA INTEGRADO PARA ENDOSCOPIA</t>
  </si>
  <si>
    <t>CMST21</t>
  </si>
  <si>
    <t>CM-STATION21</t>
  </si>
  <si>
    <t>CMST27</t>
  </si>
  <si>
    <t>CM-STATION27</t>
  </si>
  <si>
    <t>LEDT-2</t>
  </si>
  <si>
    <t>FONTE DE LUZ LED</t>
  </si>
  <si>
    <t>REC1-2</t>
  </si>
  <si>
    <t>SISTEMA DE GRAVAÇÃO DE IMAGENS</t>
  </si>
  <si>
    <t>REC3FH</t>
  </si>
  <si>
    <t>REC3UH</t>
  </si>
  <si>
    <t>SC34KT</t>
  </si>
  <si>
    <t>CM-SCAM3</t>
  </si>
  <si>
    <t>MICROCÂMERA CM</t>
  </si>
  <si>
    <t>SC3FHD</t>
  </si>
  <si>
    <t>SCFHDT</t>
  </si>
  <si>
    <t>CM-SCAM</t>
  </si>
  <si>
    <t>SC4KT-</t>
  </si>
  <si>
    <t>CM-CAM752</t>
  </si>
  <si>
    <t>C752T-</t>
  </si>
  <si>
    <t>CM-30L</t>
  </si>
  <si>
    <t>CM30T-</t>
  </si>
  <si>
    <t>MONITOR PROFISSIONAL GRAU MÉDICO</t>
  </si>
  <si>
    <t>CM26F-</t>
  </si>
  <si>
    <t>CM-CINEMED-26F</t>
  </si>
  <si>
    <t>CM-CINEMED-32F</t>
  </si>
  <si>
    <t>CM-CINEMED-42F</t>
  </si>
  <si>
    <t>CM42FC</t>
  </si>
  <si>
    <t>CM-CINEMED-55F</t>
  </si>
  <si>
    <t>CM-CINEMED-23F</t>
  </si>
  <si>
    <t>CM27FC</t>
  </si>
  <si>
    <t>CM-CINEMED-27F</t>
  </si>
  <si>
    <t>CM32FC</t>
  </si>
  <si>
    <t>CM-OTC0001L</t>
  </si>
  <si>
    <t>CM-OTC0002L</t>
  </si>
  <si>
    <t>CM-OTC0003L</t>
  </si>
  <si>
    <t>CM-OTC0004L</t>
  </si>
  <si>
    <t>CM-OTC0005L</t>
  </si>
  <si>
    <t>CM-OTC0006L</t>
  </si>
  <si>
    <t>CM-OTC0007L</t>
  </si>
  <si>
    <t>CM-OTC0008L</t>
  </si>
  <si>
    <t>CM-OTC0009L</t>
  </si>
  <si>
    <t>CM-OTC0044L</t>
  </si>
  <si>
    <t>CM-OTC0045L</t>
  </si>
  <si>
    <t>CM-OTC0046L</t>
  </si>
  <si>
    <t>CM-OTC0047L</t>
  </si>
  <si>
    <t>CM-OTC0048L</t>
  </si>
  <si>
    <t>CM-OTC0049L</t>
  </si>
  <si>
    <t>CM-OTC0050L</t>
  </si>
  <si>
    <t>CM-OTC0051L</t>
  </si>
  <si>
    <t>CM-OTC0052L</t>
  </si>
  <si>
    <t>CM-OTC0053L</t>
  </si>
  <si>
    <t>CM-OTC0054L</t>
  </si>
  <si>
    <t>CM-OTC0055L</t>
  </si>
  <si>
    <t>CM-OTC0059L</t>
  </si>
  <si>
    <t>CM-OTC0060L</t>
  </si>
  <si>
    <t>CM-OTC0061L</t>
  </si>
  <si>
    <t>CM-OTC0062L</t>
  </si>
  <si>
    <t>CM-OTC0063L</t>
  </si>
  <si>
    <t>CM-OTC0064L</t>
  </si>
  <si>
    <t>CM-OTC0065L</t>
  </si>
  <si>
    <t>CM-OTC0066L</t>
  </si>
  <si>
    <t>CM-OTC0067L</t>
  </si>
  <si>
    <t>CM-OTC0068L</t>
  </si>
  <si>
    <t>CM-OTC0069L</t>
  </si>
  <si>
    <t>CM-OTC0070L</t>
  </si>
  <si>
    <t>CM-OTC0010A</t>
  </si>
  <si>
    <t>CM-OTC0011A</t>
  </si>
  <si>
    <t>CM-OTC0012A</t>
  </si>
  <si>
    <t>CM-OTC0013A</t>
  </si>
  <si>
    <t>CM-OTC0014A</t>
  </si>
  <si>
    <t>CM-OTC0015A</t>
  </si>
  <si>
    <t>CM-OTC0016A</t>
  </si>
  <si>
    <t>CM-OTC0017A</t>
  </si>
  <si>
    <t>CM-OTC0018A</t>
  </si>
  <si>
    <t>CM-OTC0019A</t>
  </si>
  <si>
    <t>CM-OTC0020A</t>
  </si>
  <si>
    <t>CM-OTC0021A</t>
  </si>
  <si>
    <t>CM-OTC0022A</t>
  </si>
  <si>
    <t>CM-OTC0041A</t>
  </si>
  <si>
    <t>CM-OTC0042A</t>
  </si>
  <si>
    <t>CM-OTC0043A</t>
  </si>
  <si>
    <t>CM-OTC0010N</t>
  </si>
  <si>
    <t>CM-OTC0011N</t>
  </si>
  <si>
    <t>CM-OTC0012N</t>
  </si>
  <si>
    <t>CM-OTC0013N</t>
  </si>
  <si>
    <t>CM-OTC0014N</t>
  </si>
  <si>
    <t>CM-OTC0015N</t>
  </si>
  <si>
    <t>CM-OTC0018N</t>
  </si>
  <si>
    <t>CM-OTC0019N</t>
  </si>
  <si>
    <t>CM-OTC0020N</t>
  </si>
  <si>
    <t>CM-OTC0021N</t>
  </si>
  <si>
    <t>CM-OTC0022N</t>
  </si>
  <si>
    <t>CM-OTC0023N</t>
  </si>
  <si>
    <t>CM-OTC0024N</t>
  </si>
  <si>
    <t>CM-OTC0025N</t>
  </si>
  <si>
    <t>CM-OTC0041N</t>
  </si>
  <si>
    <t>CM-OTC0042N</t>
  </si>
  <si>
    <t>CM-OTC0043N</t>
  </si>
  <si>
    <t>CM-OTC0034F</t>
  </si>
  <si>
    <t>CM-OTC0035F</t>
  </si>
  <si>
    <t>CM-OTC0036F</t>
  </si>
  <si>
    <t>CM-OTC0037U</t>
  </si>
  <si>
    <t>CM-OTC0038U</t>
  </si>
  <si>
    <t>CM-OTC0039U</t>
  </si>
  <si>
    <t>CM-OTC0040U</t>
  </si>
  <si>
    <t>CM-OTC0026C</t>
  </si>
  <si>
    <t>CM-OTC0027C</t>
  </si>
  <si>
    <t>CM-OTC0028C</t>
  </si>
  <si>
    <t>CM-OTC0029C</t>
  </si>
  <si>
    <t>CM-OTC0030C</t>
  </si>
  <si>
    <t>CM-OTC0031C</t>
  </si>
  <si>
    <t>CM-OTC0032C</t>
  </si>
  <si>
    <t>CM-OTC0033C</t>
  </si>
  <si>
    <t>CM-OTC0056C</t>
  </si>
  <si>
    <t>CM-OTC0057C</t>
  </si>
  <si>
    <t>CM-OTC0058C</t>
  </si>
  <si>
    <t>CM-OTC0026H</t>
  </si>
  <si>
    <t>CM-OTC0027H</t>
  </si>
  <si>
    <t>CM-OTC0028H</t>
  </si>
  <si>
    <t>CM-OTC0029H</t>
  </si>
  <si>
    <t>CM-OTC0030H</t>
  </si>
  <si>
    <t>CM-OTC0031H</t>
  </si>
  <si>
    <t>CM-OTC0032H</t>
  </si>
  <si>
    <t>CM-OTC0033H</t>
  </si>
  <si>
    <t>CM-OTC0056H</t>
  </si>
  <si>
    <t>CM-OTC0057H</t>
  </si>
  <si>
    <t>CM-OTC0058H</t>
  </si>
  <si>
    <t>LAP01</t>
  </si>
  <si>
    <t>LAP02</t>
  </si>
  <si>
    <t>LAP03</t>
  </si>
  <si>
    <t>LAP04</t>
  </si>
  <si>
    <t>LAP05</t>
  </si>
  <si>
    <t>LAP06</t>
  </si>
  <si>
    <t>LAP07</t>
  </si>
  <si>
    <t>LAP08</t>
  </si>
  <si>
    <t>LAP09</t>
  </si>
  <si>
    <t>LAP44</t>
  </si>
  <si>
    <t>LAP45</t>
  </si>
  <si>
    <t>LAP46</t>
  </si>
  <si>
    <t>LAP47</t>
  </si>
  <si>
    <t>LAP48</t>
  </si>
  <si>
    <t>LAP49</t>
  </si>
  <si>
    <t>LAP52</t>
  </si>
  <si>
    <t>LAP53</t>
  </si>
  <si>
    <t>LAP54</t>
  </si>
  <si>
    <t>LAP55</t>
  </si>
  <si>
    <t>LAP59</t>
  </si>
  <si>
    <t>LAP60</t>
  </si>
  <si>
    <t>LAP61</t>
  </si>
  <si>
    <t>LAP62</t>
  </si>
  <si>
    <t>LAP63</t>
  </si>
  <si>
    <t>LAP64</t>
  </si>
  <si>
    <t>LAP65</t>
  </si>
  <si>
    <t>LAP66</t>
  </si>
  <si>
    <t>LAP67</t>
  </si>
  <si>
    <t>LAP68</t>
  </si>
  <si>
    <t>LAP69</t>
  </si>
  <si>
    <t>LAP70</t>
  </si>
  <si>
    <t>ART10</t>
  </si>
  <si>
    <t>ART11</t>
  </si>
  <si>
    <t>ART12</t>
  </si>
  <si>
    <t>ART13</t>
  </si>
  <si>
    <t>ART14</t>
  </si>
  <si>
    <t>ART15</t>
  </si>
  <si>
    <t>ART16</t>
  </si>
  <si>
    <t>ART17</t>
  </si>
  <si>
    <t>ART18</t>
  </si>
  <si>
    <t>ART19</t>
  </si>
  <si>
    <t>ART20</t>
  </si>
  <si>
    <t>ART21</t>
  </si>
  <si>
    <t>ART22</t>
  </si>
  <si>
    <t>ART41</t>
  </si>
  <si>
    <t>ART42</t>
  </si>
  <si>
    <t>ART43</t>
  </si>
  <si>
    <t>NAS10</t>
  </si>
  <si>
    <t>NAS11</t>
  </si>
  <si>
    <t>NAS12</t>
  </si>
  <si>
    <t>NAS13</t>
  </si>
  <si>
    <t>NAS14</t>
  </si>
  <si>
    <t>NAS15</t>
  </si>
  <si>
    <t>NAS18</t>
  </si>
  <si>
    <t>NAS19</t>
  </si>
  <si>
    <t>NAS20</t>
  </si>
  <si>
    <t>NAS21</t>
  </si>
  <si>
    <t>NAS22</t>
  </si>
  <si>
    <t>NAS23</t>
  </si>
  <si>
    <t>NAS24</t>
  </si>
  <si>
    <t>NAS25</t>
  </si>
  <si>
    <t>NAS41</t>
  </si>
  <si>
    <t>NAS42</t>
  </si>
  <si>
    <t>NAS43</t>
  </si>
  <si>
    <t>NEF34</t>
  </si>
  <si>
    <t>NEF35</t>
  </si>
  <si>
    <t>NEF36</t>
  </si>
  <si>
    <t>URE37</t>
  </si>
  <si>
    <t>URE38</t>
  </si>
  <si>
    <t>URE39</t>
  </si>
  <si>
    <t>URE40</t>
  </si>
  <si>
    <t>CIS26</t>
  </si>
  <si>
    <t>CIS27</t>
  </si>
  <si>
    <t>CIS28</t>
  </si>
  <si>
    <t>CIS29</t>
  </si>
  <si>
    <t>CIS30</t>
  </si>
  <si>
    <t>CIS31</t>
  </si>
  <si>
    <t>CIS32</t>
  </si>
  <si>
    <t>CIS33</t>
  </si>
  <si>
    <t>CIS56</t>
  </si>
  <si>
    <t>CIS57</t>
  </si>
  <si>
    <t>CIS58</t>
  </si>
  <si>
    <t>HIS26</t>
  </si>
  <si>
    <t>HIS27</t>
  </si>
  <si>
    <t>HIS28</t>
  </si>
  <si>
    <t>HIS29</t>
  </si>
  <si>
    <t>HIS30</t>
  </si>
  <si>
    <t>HIS31</t>
  </si>
  <si>
    <t>HIS32</t>
  </si>
  <si>
    <t>HIS33</t>
  </si>
  <si>
    <t>HIS56</t>
  </si>
  <si>
    <t>HIS57</t>
  </si>
  <si>
    <t>HIS58</t>
  </si>
  <si>
    <t>ENDOSCÓPIO RÍGIDO PARA HISTEROSCOPIA</t>
  </si>
  <si>
    <t>ENDOSCÓPIO RÍGIDO PARA CISTOSCOPIA</t>
  </si>
  <si>
    <t>ENDOSCÓPIO RÍGIDO PARA URETERORRENOSCOPIA</t>
  </si>
  <si>
    <t>ENDOSCÓPIO RÍGIDO PARA NEFROSCOPIA</t>
  </si>
  <si>
    <t>ENDOSCÓPIO RÍGIDO PARA NASOFARINGOLARINGOSCOPIA</t>
  </si>
  <si>
    <t>ENDOSCÓPIO RÍGIDO PARA ARTROSCOPIA</t>
  </si>
  <si>
    <t>ENDOSCÓPIO RÍGIDO PARA LAPAROSCOPIA</t>
  </si>
  <si>
    <t>LAP50</t>
  </si>
  <si>
    <t>LAP50P</t>
  </si>
  <si>
    <t>LAP51P</t>
  </si>
  <si>
    <t>LAP51</t>
  </si>
  <si>
    <t>CM-RECMASTER1</t>
  </si>
  <si>
    <t>CM-RECMASTER3</t>
  </si>
  <si>
    <t>CMCAM</t>
  </si>
  <si>
    <t>CMCAM-</t>
  </si>
  <si>
    <t>ASP0001</t>
  </si>
  <si>
    <t>INS0002</t>
  </si>
  <si>
    <t>INS0003</t>
  </si>
  <si>
    <t>URL0001</t>
  </si>
  <si>
    <t>URL0002</t>
  </si>
  <si>
    <t>INS0004</t>
  </si>
  <si>
    <t>STB0001</t>
  </si>
  <si>
    <t>SIC0001</t>
  </si>
  <si>
    <t>SIC0002</t>
  </si>
  <si>
    <t>REC2-2</t>
  </si>
  <si>
    <t>CM-RECMASTER2</t>
  </si>
  <si>
    <t>GRA0001</t>
  </si>
  <si>
    <t>GRA0003</t>
  </si>
  <si>
    <t>GRA0004</t>
  </si>
  <si>
    <t>CAM0004</t>
  </si>
  <si>
    <t>CAM0003</t>
  </si>
  <si>
    <t>CAM0002</t>
  </si>
  <si>
    <t>CAM0006</t>
  </si>
  <si>
    <t>CAM0005</t>
  </si>
  <si>
    <t>INS0001</t>
  </si>
  <si>
    <t>CM23F-</t>
  </si>
  <si>
    <t>CM55FC</t>
  </si>
  <si>
    <t>MNT0013</t>
  </si>
  <si>
    <t>MNT0017</t>
  </si>
  <si>
    <t>MNT0019</t>
  </si>
  <si>
    <t>MNT0020</t>
  </si>
  <si>
    <t>MNT0011</t>
  </si>
  <si>
    <t>MNT0014</t>
  </si>
  <si>
    <t>LAP0001</t>
  </si>
  <si>
    <t>LAP0002</t>
  </si>
  <si>
    <t>LAP0003</t>
  </si>
  <si>
    <t>LAP0004</t>
  </si>
  <si>
    <t>LAP0005</t>
  </si>
  <si>
    <t>LAP0006</t>
  </si>
  <si>
    <t>LAP0007</t>
  </si>
  <si>
    <t>LAP0008</t>
  </si>
  <si>
    <t>LAP0009</t>
  </si>
  <si>
    <t>LAP0010</t>
  </si>
  <si>
    <t>LAP0011</t>
  </si>
  <si>
    <t>LAP0012</t>
  </si>
  <si>
    <t>LAP0013</t>
  </si>
  <si>
    <t>LAP0014</t>
  </si>
  <si>
    <t>LAP0015</t>
  </si>
  <si>
    <t>LAP0016</t>
  </si>
  <si>
    <t>LAP0017</t>
  </si>
  <si>
    <t>LAP0018</t>
  </si>
  <si>
    <t>LAP0019</t>
  </si>
  <si>
    <t>LAP0020</t>
  </si>
  <si>
    <t>LAP0021</t>
  </si>
  <si>
    <t>LAP0022</t>
  </si>
  <si>
    <t>LAP0023</t>
  </si>
  <si>
    <t>LAP0024</t>
  </si>
  <si>
    <t>LAP0025</t>
  </si>
  <si>
    <t>LAP0026</t>
  </si>
  <si>
    <t>LAP0027</t>
  </si>
  <si>
    <t>LAP0028</t>
  </si>
  <si>
    <t>LAP0029</t>
  </si>
  <si>
    <t>LAP0030</t>
  </si>
  <si>
    <t>LAP0031</t>
  </si>
  <si>
    <t>LAP0032</t>
  </si>
  <si>
    <t>LAP0033</t>
  </si>
  <si>
    <t>LAP0034</t>
  </si>
  <si>
    <t>LAP0035</t>
  </si>
  <si>
    <t>ART0001</t>
  </si>
  <si>
    <t>ART0002</t>
  </si>
  <si>
    <t>ART0003</t>
  </si>
  <si>
    <t>ART0004</t>
  </si>
  <si>
    <t>ART0005</t>
  </si>
  <si>
    <t>ART0006</t>
  </si>
  <si>
    <t>ART0007</t>
  </si>
  <si>
    <t>ART0008</t>
  </si>
  <si>
    <t>ART0009</t>
  </si>
  <si>
    <t>ART0010</t>
  </si>
  <si>
    <t>ART0011</t>
  </si>
  <si>
    <t>ART0012</t>
  </si>
  <si>
    <t>ART0013</t>
  </si>
  <si>
    <t>ART0014</t>
  </si>
  <si>
    <t>ART0015</t>
  </si>
  <si>
    <t>ART0016</t>
  </si>
  <si>
    <t>NAS0001</t>
  </si>
  <si>
    <t>NAS0002</t>
  </si>
  <si>
    <t>NAS0003</t>
  </si>
  <si>
    <t>NAS0004</t>
  </si>
  <si>
    <t>NAS0005</t>
  </si>
  <si>
    <t>NAS0006</t>
  </si>
  <si>
    <t>NAS0007</t>
  </si>
  <si>
    <t>NAS0008</t>
  </si>
  <si>
    <t>NAS0009</t>
  </si>
  <si>
    <t>NAS0010</t>
  </si>
  <si>
    <t>NAS0011</t>
  </si>
  <si>
    <t>NAS0012</t>
  </si>
  <si>
    <t>NAS0013</t>
  </si>
  <si>
    <t>NAS0014</t>
  </si>
  <si>
    <t>NAS0015</t>
  </si>
  <si>
    <t>NAS0016</t>
  </si>
  <si>
    <t>NAS0017</t>
  </si>
  <si>
    <t>NEF0001</t>
  </si>
  <si>
    <t>NEF0002</t>
  </si>
  <si>
    <t>NEF0003</t>
  </si>
  <si>
    <t>URE0002</t>
  </si>
  <si>
    <t>URE0003</t>
  </si>
  <si>
    <t>URE0004</t>
  </si>
  <si>
    <t>URE0001</t>
  </si>
  <si>
    <t>CIS0001</t>
  </si>
  <si>
    <t>CIS0002</t>
  </si>
  <si>
    <t>CIS0003</t>
  </si>
  <si>
    <t>CIS0004</t>
  </si>
  <si>
    <t>CIS0005</t>
  </si>
  <si>
    <t>CIS0006</t>
  </si>
  <si>
    <t>CIS0007</t>
  </si>
  <si>
    <t>CIS0008</t>
  </si>
  <si>
    <t>CIS0009</t>
  </si>
  <si>
    <t>CIS0010</t>
  </si>
  <si>
    <t>CIS0011</t>
  </si>
  <si>
    <t>HIS0001</t>
  </si>
  <si>
    <t>HIS0002</t>
  </si>
  <si>
    <t>HIS0003</t>
  </si>
  <si>
    <t>HIS0004</t>
  </si>
  <si>
    <t>HIS0005</t>
  </si>
  <si>
    <t>HIS0006</t>
  </si>
  <si>
    <t>HIS0007</t>
  </si>
  <si>
    <t>HIS0008</t>
  </si>
  <si>
    <t>HIS0009</t>
  </si>
  <si>
    <t>HIS0010</t>
  </si>
  <si>
    <t>HIS0011</t>
  </si>
  <si>
    <t>Tipos de erro (CSV)</t>
  </si>
  <si>
    <t>Documentos corrigidos (CSV)</t>
  </si>
  <si>
    <t>15/06/2026</t>
  </si>
  <si>
    <t>6988</t>
  </si>
  <si>
    <t>SC34KT-20263-1</t>
  </si>
  <si>
    <t>6989</t>
  </si>
  <si>
    <t>SC34KT-20263-2</t>
  </si>
  <si>
    <t>24/06/2026</t>
  </si>
  <si>
    <t>6990</t>
  </si>
  <si>
    <t>SC34KT-20263-3</t>
  </si>
  <si>
    <t>17/06/2026</t>
  </si>
  <si>
    <t>7277</t>
  </si>
  <si>
    <t>CMST27-20265-1</t>
  </si>
  <si>
    <t>25/06/2026</t>
  </si>
  <si>
    <t>7356</t>
  </si>
  <si>
    <t>SCFHDT-20265-3</t>
  </si>
  <si>
    <t>7360</t>
  </si>
  <si>
    <t>SCFHDT-20265-7</t>
  </si>
  <si>
    <t>22/06/2026</t>
  </si>
  <si>
    <t>7392</t>
  </si>
  <si>
    <t>CM32FC-20265-2</t>
  </si>
  <si>
    <t>CM-CINEMED32F</t>
  </si>
  <si>
    <t>7393</t>
  </si>
  <si>
    <t>CM32FC-20265-3</t>
  </si>
  <si>
    <t>7395</t>
  </si>
  <si>
    <t>CM32FC-20265-5</t>
  </si>
  <si>
    <t>7396</t>
  </si>
  <si>
    <t>CM32FC-20265-6</t>
  </si>
  <si>
    <t>7397</t>
  </si>
  <si>
    <t>CM32FC-20265-16</t>
  </si>
  <si>
    <t>7398</t>
  </si>
  <si>
    <t>CM32FC-20265-17</t>
  </si>
  <si>
    <t>7399</t>
  </si>
  <si>
    <t>CM32FC-20265-18</t>
  </si>
  <si>
    <t>7400</t>
  </si>
  <si>
    <t>CM32FC-20265-19</t>
  </si>
  <si>
    <t>7401</t>
  </si>
  <si>
    <t>CM32FC-20265-20</t>
  </si>
  <si>
    <t>7402</t>
  </si>
  <si>
    <t>CM32FC-20265-7</t>
  </si>
  <si>
    <t>7403</t>
  </si>
  <si>
    <t>CM32FC-20265-8</t>
  </si>
  <si>
    <t>7404</t>
  </si>
  <si>
    <t>CM32FC-20265-9</t>
  </si>
  <si>
    <t>7405</t>
  </si>
  <si>
    <t>CM32FC-20265-10</t>
  </si>
  <si>
    <t>7406</t>
  </si>
  <si>
    <t>CM32FC-20265-11</t>
  </si>
  <si>
    <t>7425</t>
  </si>
  <si>
    <t>NAS10-20265-2</t>
  </si>
  <si>
    <t>7431</t>
  </si>
  <si>
    <t>LEDT-20265-18</t>
  </si>
  <si>
    <t>7433</t>
  </si>
  <si>
    <t>LEDT-20265-20</t>
  </si>
  <si>
    <t>7435</t>
  </si>
  <si>
    <t>LEDT-20265-22</t>
  </si>
  <si>
    <t>7436</t>
  </si>
  <si>
    <t>LEDT-20265-23</t>
  </si>
  <si>
    <t>7437</t>
  </si>
  <si>
    <t>LEDT-20265-24</t>
  </si>
  <si>
    <t>7438</t>
  </si>
  <si>
    <t>LEDT-20265-25</t>
  </si>
  <si>
    <t>7439</t>
  </si>
  <si>
    <t>LEDT-20265-26</t>
  </si>
  <si>
    <t>7440</t>
  </si>
  <si>
    <t>CM40T-20265-18</t>
  </si>
  <si>
    <t>7441</t>
  </si>
  <si>
    <t>CM40T-20265-19</t>
  </si>
  <si>
    <t>7442</t>
  </si>
  <si>
    <t>CM40T-20265-20</t>
  </si>
  <si>
    <t>7443</t>
  </si>
  <si>
    <t>CM40T-20265-21</t>
  </si>
  <si>
    <t>7444</t>
  </si>
  <si>
    <t>CM40T-20265-22</t>
  </si>
  <si>
    <t>7447</t>
  </si>
  <si>
    <t>SC3FHDT-20265-2</t>
  </si>
  <si>
    <t>7448</t>
  </si>
  <si>
    <t>CM32FC-20265-12</t>
  </si>
  <si>
    <t>7449</t>
  </si>
  <si>
    <t>CM32FC-20265-13</t>
  </si>
  <si>
    <t>7450</t>
  </si>
  <si>
    <t>7451</t>
  </si>
  <si>
    <t>CM32FC-20265-15</t>
  </si>
  <si>
    <t>7462</t>
  </si>
  <si>
    <t>LAP51-20265-30</t>
  </si>
  <si>
    <t>7463</t>
  </si>
  <si>
    <t>LAP51-20265-31</t>
  </si>
  <si>
    <t>7478</t>
  </si>
  <si>
    <t>LAP51-20265-26</t>
  </si>
  <si>
    <t>7480</t>
  </si>
  <si>
    <t>NAS11-20265-1</t>
  </si>
  <si>
    <t>7488</t>
  </si>
  <si>
    <t>LAP45-20266-1</t>
  </si>
  <si>
    <t>7489</t>
  </si>
  <si>
    <t>LAP45-20266-2</t>
  </si>
  <si>
    <t>7490</t>
  </si>
  <si>
    <t>LEDT-20266-1</t>
  </si>
  <si>
    <t>7491</t>
  </si>
  <si>
    <t>LEDT-20266-2</t>
  </si>
  <si>
    <t>7492</t>
  </si>
  <si>
    <t>LEDT-20266-3</t>
  </si>
  <si>
    <t>7493</t>
  </si>
  <si>
    <t>LEDT-20266-4</t>
  </si>
  <si>
    <t>7494</t>
  </si>
  <si>
    <t>LEDT-20266-5</t>
  </si>
  <si>
    <t>7496</t>
  </si>
  <si>
    <t>CM40T-20266-2</t>
  </si>
  <si>
    <t>7497</t>
  </si>
  <si>
    <t>CM40T-20266-3</t>
  </si>
  <si>
    <t>7498</t>
  </si>
  <si>
    <t>CM40T-20266-4</t>
  </si>
  <si>
    <t>7499</t>
  </si>
  <si>
    <t>CM40T-20266-5</t>
  </si>
  <si>
    <t>7505</t>
  </si>
  <si>
    <t>CMEND-20266-1</t>
  </si>
  <si>
    <t>7510</t>
  </si>
  <si>
    <t>CMST27-20266-1</t>
  </si>
  <si>
    <t>7511</t>
  </si>
  <si>
    <t>CMST27-20266-2</t>
  </si>
  <si>
    <t>7512</t>
  </si>
  <si>
    <t>CM40T-20266-6</t>
  </si>
  <si>
    <t>7516</t>
  </si>
  <si>
    <t>CM40T-20266-10</t>
  </si>
  <si>
    <t>7518</t>
  </si>
  <si>
    <t>LEDT-20266-7</t>
  </si>
  <si>
    <t>7519</t>
  </si>
  <si>
    <t>LEDT-20266-8</t>
  </si>
  <si>
    <t>7522</t>
  </si>
  <si>
    <t>NAS12-20266-1</t>
  </si>
  <si>
    <t>19/06/2026</t>
  </si>
  <si>
    <t>7523</t>
  </si>
  <si>
    <t>HIS28-20266-1</t>
  </si>
  <si>
    <t>7524</t>
  </si>
  <si>
    <t>HIS28-20266-2</t>
  </si>
  <si>
    <t>7525</t>
  </si>
  <si>
    <t>HIS28-20266-3</t>
  </si>
  <si>
    <t>7527</t>
  </si>
  <si>
    <t>HIS28-20266-5</t>
  </si>
  <si>
    <t>7531</t>
  </si>
  <si>
    <t>CIS28-20266-1</t>
  </si>
  <si>
    <t>7532</t>
  </si>
  <si>
    <t>CIS28-20266-2</t>
  </si>
  <si>
    <t>7533</t>
  </si>
  <si>
    <t>HIS28-20266-9</t>
  </si>
  <si>
    <t>7534</t>
  </si>
  <si>
    <t>HIS28-20266-10</t>
  </si>
  <si>
    <t>7535</t>
  </si>
  <si>
    <t>HIS28-20266-11</t>
  </si>
  <si>
    <t>7536</t>
  </si>
  <si>
    <t>CMST-20266-1</t>
  </si>
  <si>
    <t>7537</t>
  </si>
  <si>
    <t>CMST-20266-2</t>
  </si>
  <si>
    <t>7538</t>
  </si>
  <si>
    <t>CMST-20266-3</t>
  </si>
  <si>
    <t>7539</t>
  </si>
  <si>
    <t>CMST-20266-4</t>
  </si>
  <si>
    <t>7540</t>
  </si>
  <si>
    <t>CMST-20266-5</t>
  </si>
  <si>
    <t>7546</t>
  </si>
  <si>
    <t>CMST27-20266-3</t>
  </si>
  <si>
    <t>7547</t>
  </si>
  <si>
    <t>CMST27-20266-4</t>
  </si>
  <si>
    <t>7558</t>
  </si>
  <si>
    <t>CMST27-20266-5</t>
  </si>
  <si>
    <t>7559</t>
  </si>
  <si>
    <t>CIS28-20266-3</t>
  </si>
  <si>
    <t>7560</t>
  </si>
  <si>
    <t>CIS28-20266-4</t>
  </si>
  <si>
    <t>7561</t>
  </si>
  <si>
    <t>CIS28-20266-5</t>
  </si>
  <si>
    <t>7562</t>
  </si>
  <si>
    <t>CIS28-20266-6</t>
  </si>
  <si>
    <t>29/06/2026</t>
  </si>
  <si>
    <t>7569</t>
  </si>
  <si>
    <t>SC4KT-20266-7</t>
  </si>
  <si>
    <t>Análise concluída conforme, sem apontamentos registrados.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</si>
</sst>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1"/>
      <color rgb="FF888888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i/>
      <sz val="11"/>
      <color rgb="FF88888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C"/>
      </patternFill>
    </fill>
    <fill>
      <patternFill patternType="solid">
        <fgColor rgb="FF1F3A5C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rgb="FF1F3A5C"/>
      </left>
      <right style="thin">
        <color rgb="FF1F3A5C"/>
      </right>
      <top/>
      <bottom style="thin">
        <color rgb="FF1F3A5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/>
    <xf numFmtId="0" fontId="3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9" fontId="0" fillId="0" borderId="0" xfId="0" applyNumberFormat="1"/>
    <xf numFmtId="0" fontId="9" fillId="0" borderId="0" xfId="0" applyNumberFormat="1" applyFont="1"/>
    <xf numFmtId="0" fontId="9" fillId="0" borderId="0" xfId="0" applyFont="1"/>
  </cellXfs>
  <cellStyles count="1">
    <cellStyle name="Normal" xfId="0" builtinId="0"/>
  </cellStyles>
  <dxfs count="13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88888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88888"/>
        <name val="Calibri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88888"/>
        <name val="Calibri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88888"/>
        <name val="Calibri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88888"/>
        <name val="Calibri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88888"/>
        <name val="Calibri"/>
        <scheme val="none"/>
      </font>
      <numFmt numFmtId="0" formatCode="General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88888"/>
        <name val="Calibri"/>
        <scheme val="none"/>
      </font>
      <numFmt numFmtId="0" formatCode="General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88888"/>
        <name val="Calibri"/>
        <scheme val="none"/>
      </font>
    </dxf>
    <dxf>
      <border outline="0">
        <top style="thin">
          <color rgb="FF1F3A5C"/>
        </top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88888"/>
        <name val="Calibri"/>
        <scheme val="none"/>
      </font>
    </dxf>
    <dxf>
      <border outline="0">
        <bottom style="thin">
          <color rgb="FF1F3A5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3A5C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1F3A5C"/>
        </left>
        <right style="thin">
          <color rgb="FF1F3A5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2B037-8669-488A-AF56-DE5C1F15A83E}" name="Tabela1" displayName="Tabela1" ref="A1:I84" totalsRowShown="0" headerRowDxfId="12" dataDxfId="10" headerRowBorderDxfId="11" tableBorderDxfId="9">
  <autoFilter ref="A1:I84" xr:uid="{E232B037-8669-488A-AF56-DE5C1F15A83E}"/>
  <tableColumns count="9">
    <tableColumn id="1" xr3:uid="{C56C7E67-FC07-48F0-9F05-DD1E92BFA761}" name="Data (DD/MM/AAAA)" dataDxfId="1"/>
    <tableColumn id="2" xr3:uid="{954E9F0D-487C-489B-867E-152F68DCE2FF}" name="Nº OP" dataDxfId="8"/>
    <tableColumn id="3" xr3:uid="{062F5DD6-441D-442D-B999-41D5413CA843}" name="Nº Série" dataDxfId="7"/>
    <tableColumn id="4" xr3:uid="{E46FC46C-C0A6-4AFC-8046-9D943B3A2298}" name="Modelo" dataDxfId="6"/>
    <tableColumn id="5" xr3:uid="{2E7D54A1-6DFC-41CC-8F7B-9FD78122F430}" name="Código Sapiens" dataDxfId="0"/>
    <tableColumn id="6" xr3:uid="{189FB6F4-42BF-4B7D-9D82-8F0EB894983C}" name="Status" dataDxfId="5"/>
    <tableColumn id="7" xr3:uid="{3DBCBE61-496D-4A5B-833E-72AC7CDED059}" name="Parecer (texto livre)" dataDxfId="4"/>
    <tableColumn id="10" xr3:uid="{8648F7FD-1EB1-4C4D-AECA-0D9C317D6846}" name="Tipos de erro (CSV)" dataDxfId="3"/>
    <tableColumn id="11" xr3:uid="{50883D5F-CDFE-4D5F-8183-FC6F3AC7799F}" name="Documentos corrigidos (CSV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3"/>
  <sheetViews>
    <sheetView tabSelected="1" workbookViewId="0">
      <pane ySplit="1" topLeftCell="A2" activePane="bottomLeft" state="frozen"/>
      <selection pane="bottomLeft" activeCell="E58" sqref="E58"/>
    </sheetView>
  </sheetViews>
  <sheetFormatPr defaultRowHeight="14.4" x14ac:dyDescent="0.3"/>
  <cols>
    <col min="1" max="1" width="21.21875" customWidth="1"/>
    <col min="2" max="2" width="12" customWidth="1"/>
    <col min="3" max="3" width="22" customWidth="1"/>
    <col min="4" max="4" width="20" customWidth="1"/>
    <col min="5" max="5" width="16" customWidth="1"/>
    <col min="6" max="6" width="14" customWidth="1"/>
    <col min="7" max="7" width="70.88671875" customWidth="1"/>
    <col min="8" max="9" width="94.21875" customWidth="1"/>
  </cols>
  <sheetData>
    <row r="1" spans="1:11" s="1" customFormat="1" ht="24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420</v>
      </c>
      <c r="I1" s="7" t="s">
        <v>421</v>
      </c>
      <c r="J1" s="7"/>
      <c r="K1" s="7"/>
    </row>
    <row r="2" spans="1:11" x14ac:dyDescent="0.3">
      <c r="A2" s="12" t="s">
        <v>422</v>
      </c>
      <c r="B2" t="s">
        <v>423</v>
      </c>
      <c r="C2" t="s">
        <v>424</v>
      </c>
      <c r="D2" t="s">
        <v>71</v>
      </c>
      <c r="E2" s="4" t="s">
        <v>309</v>
      </c>
      <c r="F2" t="s">
        <v>9</v>
      </c>
      <c r="G2" t="s">
        <v>595</v>
      </c>
      <c r="H2" s="4"/>
      <c r="I2" s="4"/>
      <c r="J2" s="4"/>
      <c r="K2" s="4" t="str">
        <f>IF(MID(C2,1,6) = "N/A","N/A",MID(C2,1,6))</f>
        <v>SC34KT</v>
      </c>
    </row>
    <row r="3" spans="1:11" x14ac:dyDescent="0.3">
      <c r="A3" s="12" t="s">
        <v>422</v>
      </c>
      <c r="B3" t="s">
        <v>425</v>
      </c>
      <c r="C3" t="s">
        <v>426</v>
      </c>
      <c r="D3" t="s">
        <v>71</v>
      </c>
      <c r="E3" s="4" t="s">
        <v>309</v>
      </c>
      <c r="F3" t="s">
        <v>9</v>
      </c>
      <c r="G3" t="s">
        <v>595</v>
      </c>
      <c r="H3" s="4"/>
      <c r="I3" s="4"/>
      <c r="J3" s="4"/>
      <c r="K3" s="4" t="str">
        <f t="shared" ref="K3:K58" si="0">IF(MID(C3,1,6) = "N/A","N/A",MID(C3,1,6))</f>
        <v>SC34KT</v>
      </c>
    </row>
    <row r="4" spans="1:11" x14ac:dyDescent="0.3">
      <c r="A4" s="12" t="s">
        <v>427</v>
      </c>
      <c r="B4" t="s">
        <v>428</v>
      </c>
      <c r="C4" t="s">
        <v>429</v>
      </c>
      <c r="D4" t="s">
        <v>71</v>
      </c>
      <c r="E4" s="4" t="s">
        <v>309</v>
      </c>
      <c r="F4" t="s">
        <v>9</v>
      </c>
      <c r="G4" t="s">
        <v>595</v>
      </c>
      <c r="H4" s="4"/>
      <c r="I4" s="4"/>
      <c r="J4" s="4"/>
      <c r="K4" s="4" t="str">
        <f t="shared" si="0"/>
        <v>SC34KT</v>
      </c>
    </row>
    <row r="5" spans="1:11" x14ac:dyDescent="0.3">
      <c r="A5" s="12" t="s">
        <v>430</v>
      </c>
      <c r="B5" t="s">
        <v>431</v>
      </c>
      <c r="C5" t="s">
        <v>432</v>
      </c>
      <c r="D5" t="s">
        <v>63</v>
      </c>
      <c r="E5" s="4" t="s">
        <v>303</v>
      </c>
      <c r="F5" t="s">
        <v>9</v>
      </c>
      <c r="G5" t="s">
        <v>595</v>
      </c>
      <c r="H5" s="4"/>
      <c r="I5" s="4"/>
      <c r="J5" s="4"/>
      <c r="K5" s="4" t="str">
        <f t="shared" si="0"/>
        <v>CMST27</v>
      </c>
    </row>
    <row r="6" spans="1:11" x14ac:dyDescent="0.3">
      <c r="A6" s="12" t="s">
        <v>433</v>
      </c>
      <c r="B6" t="s">
        <v>434</v>
      </c>
      <c r="C6" t="s">
        <v>435</v>
      </c>
      <c r="D6" t="s">
        <v>75</v>
      </c>
      <c r="E6" s="4" t="s">
        <v>311</v>
      </c>
      <c r="F6" t="s">
        <v>9</v>
      </c>
      <c r="G6" t="s">
        <v>595</v>
      </c>
      <c r="H6" s="4"/>
      <c r="I6" s="4"/>
      <c r="J6" s="4"/>
      <c r="K6" s="4" t="str">
        <f t="shared" si="0"/>
        <v>SCFHDT</v>
      </c>
    </row>
    <row r="7" spans="1:11" x14ac:dyDescent="0.3">
      <c r="A7" s="12" t="s">
        <v>433</v>
      </c>
      <c r="B7" t="s">
        <v>436</v>
      </c>
      <c r="C7" t="s">
        <v>437</v>
      </c>
      <c r="D7" t="s">
        <v>75</v>
      </c>
      <c r="E7" s="4" t="s">
        <v>311</v>
      </c>
      <c r="F7" t="s">
        <v>9</v>
      </c>
      <c r="G7" t="s">
        <v>595</v>
      </c>
      <c r="H7" s="4"/>
      <c r="I7" s="4"/>
      <c r="J7" s="4"/>
      <c r="K7" s="4" t="str">
        <f t="shared" si="0"/>
        <v>SCFHDT</v>
      </c>
    </row>
    <row r="8" spans="1:11" x14ac:dyDescent="0.3">
      <c r="A8" s="12" t="s">
        <v>438</v>
      </c>
      <c r="B8" t="s">
        <v>439</v>
      </c>
      <c r="C8" t="s">
        <v>440</v>
      </c>
      <c r="D8" t="s">
        <v>441</v>
      </c>
      <c r="E8" s="4" t="s">
        <v>318</v>
      </c>
      <c r="F8" t="s">
        <v>9</v>
      </c>
      <c r="G8" t="s">
        <v>595</v>
      </c>
      <c r="H8" s="4"/>
      <c r="I8" s="4"/>
      <c r="J8" s="4"/>
      <c r="K8" s="4" t="str">
        <f t="shared" si="0"/>
        <v>CM32FC</v>
      </c>
    </row>
    <row r="9" spans="1:11" x14ac:dyDescent="0.3">
      <c r="A9" s="12" t="s">
        <v>438</v>
      </c>
      <c r="B9" t="s">
        <v>442</v>
      </c>
      <c r="C9" t="s">
        <v>443</v>
      </c>
      <c r="D9" t="s">
        <v>441</v>
      </c>
      <c r="E9" s="4" t="s">
        <v>318</v>
      </c>
      <c r="F9" t="s">
        <v>9</v>
      </c>
      <c r="G9" t="s">
        <v>595</v>
      </c>
      <c r="H9" s="4"/>
      <c r="I9" s="4"/>
      <c r="J9" s="4"/>
      <c r="K9" s="4" t="str">
        <f t="shared" si="0"/>
        <v>CM32FC</v>
      </c>
    </row>
    <row r="10" spans="1:11" x14ac:dyDescent="0.3">
      <c r="A10" s="12" t="s">
        <v>433</v>
      </c>
      <c r="B10" t="s">
        <v>444</v>
      </c>
      <c r="C10" t="s">
        <v>445</v>
      </c>
      <c r="D10" t="s">
        <v>441</v>
      </c>
      <c r="E10" s="4" t="s">
        <v>318</v>
      </c>
      <c r="F10" t="s">
        <v>9</v>
      </c>
      <c r="G10" t="s">
        <v>595</v>
      </c>
      <c r="H10" s="4"/>
      <c r="I10" s="4"/>
      <c r="J10" s="4"/>
      <c r="K10" s="4" t="str">
        <f t="shared" si="0"/>
        <v>CM32FC</v>
      </c>
    </row>
    <row r="11" spans="1:11" x14ac:dyDescent="0.3">
      <c r="A11" s="12" t="s">
        <v>433</v>
      </c>
      <c r="B11" t="s">
        <v>446</v>
      </c>
      <c r="C11" t="s">
        <v>447</v>
      </c>
      <c r="D11" t="s">
        <v>441</v>
      </c>
      <c r="E11" s="4" t="s">
        <v>318</v>
      </c>
      <c r="F11" t="s">
        <v>9</v>
      </c>
      <c r="G11" t="s">
        <v>595</v>
      </c>
      <c r="H11" s="4"/>
      <c r="I11" s="4"/>
      <c r="J11" s="4"/>
      <c r="K11" s="4" t="str">
        <f t="shared" si="0"/>
        <v>CM32FC</v>
      </c>
    </row>
    <row r="12" spans="1:11" x14ac:dyDescent="0.3">
      <c r="A12" s="12" t="s">
        <v>438</v>
      </c>
      <c r="B12" t="s">
        <v>448</v>
      </c>
      <c r="C12" t="s">
        <v>449</v>
      </c>
      <c r="D12" t="s">
        <v>441</v>
      </c>
      <c r="E12" s="4" t="s">
        <v>318</v>
      </c>
      <c r="F12" t="s">
        <v>9</v>
      </c>
      <c r="G12" t="s">
        <v>595</v>
      </c>
      <c r="H12" s="4"/>
      <c r="I12" s="4"/>
      <c r="J12" s="4"/>
      <c r="K12" s="4" t="str">
        <f t="shared" si="0"/>
        <v>CM32FC</v>
      </c>
    </row>
    <row r="13" spans="1:11" x14ac:dyDescent="0.3">
      <c r="A13" s="12" t="s">
        <v>438</v>
      </c>
      <c r="B13" t="s">
        <v>450</v>
      </c>
      <c r="C13" t="s">
        <v>451</v>
      </c>
      <c r="D13" t="s">
        <v>441</v>
      </c>
      <c r="E13" s="4" t="s">
        <v>318</v>
      </c>
      <c r="F13" t="s">
        <v>9</v>
      </c>
      <c r="G13" t="s">
        <v>595</v>
      </c>
      <c r="H13" s="4"/>
      <c r="I13" s="4"/>
      <c r="K13" s="4" t="str">
        <f>IF(MID(C13,1,6) = "N/A","N/A",MID(C13,1,6))</f>
        <v>CM32FC</v>
      </c>
    </row>
    <row r="14" spans="1:11" x14ac:dyDescent="0.3">
      <c r="A14" s="12" t="s">
        <v>438</v>
      </c>
      <c r="B14" t="s">
        <v>452</v>
      </c>
      <c r="C14" t="s">
        <v>453</v>
      </c>
      <c r="D14" t="s">
        <v>441</v>
      </c>
      <c r="E14" s="4" t="s">
        <v>318</v>
      </c>
      <c r="F14" t="s">
        <v>9</v>
      </c>
      <c r="G14" t="s">
        <v>595</v>
      </c>
      <c r="H14" s="4"/>
      <c r="I14" s="4"/>
      <c r="K14" s="4" t="str">
        <f t="shared" ref="K14:K77" si="1">IF(MID(C14,1,6) = "N/A","N/A",MID(C14,1,6))</f>
        <v>CM32FC</v>
      </c>
    </row>
    <row r="15" spans="1:11" x14ac:dyDescent="0.3">
      <c r="A15" s="12" t="s">
        <v>438</v>
      </c>
      <c r="B15" t="s">
        <v>454</v>
      </c>
      <c r="C15" t="s">
        <v>455</v>
      </c>
      <c r="D15" t="s">
        <v>441</v>
      </c>
      <c r="E15" s="4" t="s">
        <v>318</v>
      </c>
      <c r="F15" t="s">
        <v>9</v>
      </c>
      <c r="G15" t="s">
        <v>595</v>
      </c>
      <c r="H15" s="4"/>
      <c r="I15" s="4"/>
      <c r="K15" s="4" t="str">
        <f t="shared" si="1"/>
        <v>CM32FC</v>
      </c>
    </row>
    <row r="16" spans="1:11" x14ac:dyDescent="0.3">
      <c r="A16" s="12" t="s">
        <v>438</v>
      </c>
      <c r="B16" t="s">
        <v>456</v>
      </c>
      <c r="C16" t="s">
        <v>457</v>
      </c>
      <c r="D16" t="s">
        <v>441</v>
      </c>
      <c r="E16" s="4" t="s">
        <v>318</v>
      </c>
      <c r="F16" t="s">
        <v>9</v>
      </c>
      <c r="G16" t="s">
        <v>595</v>
      </c>
      <c r="H16" s="4"/>
      <c r="I16" s="4"/>
      <c r="K16" s="4" t="str">
        <f t="shared" si="1"/>
        <v>CM32FC</v>
      </c>
    </row>
    <row r="17" spans="1:11" x14ac:dyDescent="0.3">
      <c r="A17" s="12" t="s">
        <v>433</v>
      </c>
      <c r="B17" t="s">
        <v>458</v>
      </c>
      <c r="C17" t="s">
        <v>459</v>
      </c>
      <c r="D17" t="s">
        <v>441</v>
      </c>
      <c r="E17" s="4" t="s">
        <v>318</v>
      </c>
      <c r="F17" t="s">
        <v>9</v>
      </c>
      <c r="G17" t="s">
        <v>595</v>
      </c>
      <c r="H17" s="4"/>
      <c r="I17" s="4"/>
      <c r="K17" s="4" t="str">
        <f t="shared" si="1"/>
        <v>CM32FC</v>
      </c>
    </row>
    <row r="18" spans="1:11" x14ac:dyDescent="0.3">
      <c r="A18" s="12" t="s">
        <v>438</v>
      </c>
      <c r="B18" t="s">
        <v>460</v>
      </c>
      <c r="C18" t="s">
        <v>461</v>
      </c>
      <c r="D18" t="s">
        <v>441</v>
      </c>
      <c r="E18" s="4" t="s">
        <v>318</v>
      </c>
      <c r="F18" t="s">
        <v>9</v>
      </c>
      <c r="G18" t="s">
        <v>595</v>
      </c>
      <c r="H18" s="4"/>
      <c r="I18" s="4"/>
      <c r="K18" s="4" t="str">
        <f t="shared" si="1"/>
        <v>CM32FC</v>
      </c>
    </row>
    <row r="19" spans="1:11" x14ac:dyDescent="0.3">
      <c r="A19" s="12" t="s">
        <v>438</v>
      </c>
      <c r="B19" t="s">
        <v>462</v>
      </c>
      <c r="C19" t="s">
        <v>463</v>
      </c>
      <c r="D19" t="s">
        <v>441</v>
      </c>
      <c r="E19" s="4" t="s">
        <v>318</v>
      </c>
      <c r="F19" t="s">
        <v>9</v>
      </c>
      <c r="G19" t="s">
        <v>595</v>
      </c>
      <c r="H19" s="4"/>
      <c r="I19" s="4"/>
      <c r="K19" s="4" t="str">
        <f t="shared" si="1"/>
        <v>CM32FC</v>
      </c>
    </row>
    <row r="20" spans="1:11" x14ac:dyDescent="0.3">
      <c r="A20" s="12" t="s">
        <v>438</v>
      </c>
      <c r="B20" t="s">
        <v>464</v>
      </c>
      <c r="C20" t="s">
        <v>465</v>
      </c>
      <c r="D20" t="s">
        <v>441</v>
      </c>
      <c r="E20" s="4" t="s">
        <v>318</v>
      </c>
      <c r="F20" t="s">
        <v>9</v>
      </c>
      <c r="G20" t="s">
        <v>595</v>
      </c>
      <c r="H20" s="4"/>
      <c r="I20" s="4"/>
      <c r="K20" s="4" t="str">
        <f t="shared" si="1"/>
        <v>CM32FC</v>
      </c>
    </row>
    <row r="21" spans="1:11" x14ac:dyDescent="0.3">
      <c r="A21" s="12" t="s">
        <v>433</v>
      </c>
      <c r="B21" t="s">
        <v>466</v>
      </c>
      <c r="C21" t="s">
        <v>467</v>
      </c>
      <c r="D21" t="s">
        <v>441</v>
      </c>
      <c r="E21" s="4" t="s">
        <v>318</v>
      </c>
      <c r="F21" t="s">
        <v>9</v>
      </c>
      <c r="G21" t="s">
        <v>595</v>
      </c>
      <c r="H21" s="4"/>
      <c r="I21" s="4"/>
      <c r="K21" s="4" t="str">
        <f t="shared" si="1"/>
        <v>CM32FC</v>
      </c>
    </row>
    <row r="22" spans="1:11" x14ac:dyDescent="0.3">
      <c r="A22" s="12" t="s">
        <v>430</v>
      </c>
      <c r="B22" t="s">
        <v>468</v>
      </c>
      <c r="C22" t="s">
        <v>469</v>
      </c>
      <c r="D22" t="s">
        <v>141</v>
      </c>
      <c r="E22" s="4" t="s">
        <v>374</v>
      </c>
      <c r="F22" t="s">
        <v>9</v>
      </c>
      <c r="G22" t="s">
        <v>595</v>
      </c>
      <c r="H22" s="4"/>
      <c r="I22" s="4"/>
      <c r="K22" s="4" t="str">
        <f>IF(MID(C22,1,5) = "N/A","N/A",MID(C22,1,5))</f>
        <v>NAS10</v>
      </c>
    </row>
    <row r="23" spans="1:11" x14ac:dyDescent="0.3">
      <c r="A23" s="12" t="s">
        <v>433</v>
      </c>
      <c r="B23" t="s">
        <v>470</v>
      </c>
      <c r="C23" t="s">
        <v>471</v>
      </c>
      <c r="D23" t="s">
        <v>7</v>
      </c>
      <c r="E23" s="4" t="s">
        <v>8</v>
      </c>
      <c r="F23" t="s">
        <v>9</v>
      </c>
      <c r="G23" t="s">
        <v>595</v>
      </c>
      <c r="H23" s="4"/>
      <c r="I23" s="4"/>
      <c r="K23" s="4" t="str">
        <f t="shared" si="1"/>
        <v>LEDT-2</v>
      </c>
    </row>
    <row r="24" spans="1:11" x14ac:dyDescent="0.3">
      <c r="A24" s="12" t="s">
        <v>422</v>
      </c>
      <c r="B24" t="s">
        <v>472</v>
      </c>
      <c r="C24" t="s">
        <v>473</v>
      </c>
      <c r="D24" t="s">
        <v>7</v>
      </c>
      <c r="E24" s="4" t="s">
        <v>8</v>
      </c>
      <c r="F24" t="s">
        <v>9</v>
      </c>
      <c r="G24" t="s">
        <v>595</v>
      </c>
      <c r="H24" s="4"/>
      <c r="I24" s="4"/>
      <c r="K24" s="4" t="str">
        <f t="shared" si="1"/>
        <v>LEDT-2</v>
      </c>
    </row>
    <row r="25" spans="1:11" x14ac:dyDescent="0.3">
      <c r="A25" s="12" t="s">
        <v>422</v>
      </c>
      <c r="B25" t="s">
        <v>474</v>
      </c>
      <c r="C25" t="s">
        <v>475</v>
      </c>
      <c r="D25" t="s">
        <v>7</v>
      </c>
      <c r="E25" s="4" t="s">
        <v>8</v>
      </c>
      <c r="F25" t="s">
        <v>9</v>
      </c>
      <c r="G25" t="s">
        <v>595</v>
      </c>
      <c r="H25" s="4"/>
      <c r="I25" s="4"/>
      <c r="K25" s="4" t="str">
        <f t="shared" si="1"/>
        <v>LEDT-2</v>
      </c>
    </row>
    <row r="26" spans="1:11" x14ac:dyDescent="0.3">
      <c r="A26" s="12" t="s">
        <v>422</v>
      </c>
      <c r="B26" t="s">
        <v>476</v>
      </c>
      <c r="C26" t="s">
        <v>477</v>
      </c>
      <c r="D26" t="s">
        <v>7</v>
      </c>
      <c r="E26" s="4" t="s">
        <v>8</v>
      </c>
      <c r="F26" t="s">
        <v>9</v>
      </c>
      <c r="G26" t="s">
        <v>595</v>
      </c>
      <c r="H26" s="4"/>
      <c r="I26" s="4"/>
      <c r="K26" s="4" t="str">
        <f t="shared" si="1"/>
        <v>LEDT-2</v>
      </c>
    </row>
    <row r="27" spans="1:11" x14ac:dyDescent="0.3">
      <c r="A27" s="12" t="s">
        <v>433</v>
      </c>
      <c r="B27" t="s">
        <v>478</v>
      </c>
      <c r="C27" t="s">
        <v>479</v>
      </c>
      <c r="D27" t="s">
        <v>7</v>
      </c>
      <c r="E27" s="4" t="s">
        <v>8</v>
      </c>
      <c r="F27" t="s">
        <v>9</v>
      </c>
      <c r="G27" t="s">
        <v>595</v>
      </c>
      <c r="H27" s="4"/>
      <c r="I27" s="4"/>
      <c r="K27" s="4" t="str">
        <f t="shared" si="1"/>
        <v>LEDT-2</v>
      </c>
    </row>
    <row r="28" spans="1:11" x14ac:dyDescent="0.3">
      <c r="A28" s="12" t="s">
        <v>433</v>
      </c>
      <c r="B28" t="s">
        <v>480</v>
      </c>
      <c r="C28" t="s">
        <v>481</v>
      </c>
      <c r="D28" t="s">
        <v>7</v>
      </c>
      <c r="E28" s="4" t="s">
        <v>8</v>
      </c>
      <c r="F28" t="s">
        <v>9</v>
      </c>
      <c r="G28" t="s">
        <v>595</v>
      </c>
      <c r="H28" s="4"/>
      <c r="I28" s="4"/>
      <c r="K28" s="4" t="str">
        <f t="shared" si="1"/>
        <v>LEDT-2</v>
      </c>
    </row>
    <row r="29" spans="1:11" x14ac:dyDescent="0.3">
      <c r="A29" s="12" t="s">
        <v>422</v>
      </c>
      <c r="B29" t="s">
        <v>482</v>
      </c>
      <c r="C29" t="s">
        <v>483</v>
      </c>
      <c r="D29" t="s">
        <v>7</v>
      </c>
      <c r="E29" s="4" t="s">
        <v>8</v>
      </c>
      <c r="F29" t="s">
        <v>9</v>
      </c>
      <c r="G29" t="s">
        <v>595</v>
      </c>
      <c r="H29" s="4"/>
      <c r="I29" s="4"/>
      <c r="K29" s="4" t="str">
        <f t="shared" si="1"/>
        <v>LEDT-2</v>
      </c>
    </row>
    <row r="30" spans="1:11" x14ac:dyDescent="0.3">
      <c r="A30" s="12" t="s">
        <v>433</v>
      </c>
      <c r="B30" t="s">
        <v>484</v>
      </c>
      <c r="C30" t="s">
        <v>485</v>
      </c>
      <c r="D30" t="s">
        <v>43</v>
      </c>
      <c r="E30" s="4" t="s">
        <v>296</v>
      </c>
      <c r="F30" t="s">
        <v>9</v>
      </c>
      <c r="G30" t="s">
        <v>595</v>
      </c>
      <c r="H30" s="4"/>
      <c r="I30" s="4"/>
      <c r="K30" s="4" t="str">
        <f t="shared" si="1"/>
        <v>CM40T-</v>
      </c>
    </row>
    <row r="31" spans="1:11" x14ac:dyDescent="0.3">
      <c r="A31" s="12" t="s">
        <v>430</v>
      </c>
      <c r="B31" t="s">
        <v>486</v>
      </c>
      <c r="C31" t="s">
        <v>487</v>
      </c>
      <c r="D31" t="s">
        <v>43</v>
      </c>
      <c r="E31" s="4" t="s">
        <v>296</v>
      </c>
      <c r="F31" t="s">
        <v>9</v>
      </c>
      <c r="G31" t="s">
        <v>595</v>
      </c>
      <c r="H31" s="4"/>
      <c r="I31" s="4"/>
      <c r="K31" s="4" t="str">
        <f t="shared" si="1"/>
        <v>CM40T-</v>
      </c>
    </row>
    <row r="32" spans="1:11" x14ac:dyDescent="0.3">
      <c r="A32" s="12" t="s">
        <v>430</v>
      </c>
      <c r="B32" t="s">
        <v>488</v>
      </c>
      <c r="C32" t="s">
        <v>489</v>
      </c>
      <c r="D32" t="s">
        <v>43</v>
      </c>
      <c r="E32" s="4" t="s">
        <v>296</v>
      </c>
      <c r="F32" t="s">
        <v>9</v>
      </c>
      <c r="G32" t="s">
        <v>595</v>
      </c>
      <c r="H32" s="4"/>
      <c r="I32" s="4"/>
      <c r="K32" s="4" t="str">
        <f t="shared" si="1"/>
        <v>CM40T-</v>
      </c>
    </row>
    <row r="33" spans="1:11" x14ac:dyDescent="0.3">
      <c r="A33" s="12" t="s">
        <v>430</v>
      </c>
      <c r="B33" t="s">
        <v>490</v>
      </c>
      <c r="C33" t="s">
        <v>491</v>
      </c>
      <c r="D33" t="s">
        <v>43</v>
      </c>
      <c r="E33" s="4" t="s">
        <v>296</v>
      </c>
      <c r="F33" t="s">
        <v>9</v>
      </c>
      <c r="G33" t="s">
        <v>595</v>
      </c>
      <c r="H33" s="4"/>
      <c r="I33" s="4"/>
      <c r="K33" s="4" t="str">
        <f t="shared" si="1"/>
        <v>CM40T-</v>
      </c>
    </row>
    <row r="34" spans="1:11" x14ac:dyDescent="0.3">
      <c r="A34" s="12" t="s">
        <v>433</v>
      </c>
      <c r="B34" t="s">
        <v>492</v>
      </c>
      <c r="C34" t="s">
        <v>493</v>
      </c>
      <c r="D34" t="s">
        <v>43</v>
      </c>
      <c r="E34" s="4" t="s">
        <v>296</v>
      </c>
      <c r="F34" t="s">
        <v>9</v>
      </c>
      <c r="G34" t="s">
        <v>595</v>
      </c>
      <c r="H34" s="4"/>
      <c r="I34" s="4"/>
      <c r="K34" s="4" t="str">
        <f t="shared" si="1"/>
        <v>CM40T-</v>
      </c>
    </row>
    <row r="35" spans="1:11" x14ac:dyDescent="0.3">
      <c r="A35" s="12" t="s">
        <v>438</v>
      </c>
      <c r="B35" t="s">
        <v>494</v>
      </c>
      <c r="C35" t="s">
        <v>495</v>
      </c>
      <c r="D35" t="s">
        <v>71</v>
      </c>
      <c r="E35" s="4" t="s">
        <v>310</v>
      </c>
      <c r="F35" t="s">
        <v>9</v>
      </c>
      <c r="G35" t="s">
        <v>595</v>
      </c>
      <c r="H35" s="4"/>
      <c r="I35" s="4"/>
      <c r="K35" s="4" t="str">
        <f t="shared" si="1"/>
        <v>SC3FHD</v>
      </c>
    </row>
    <row r="36" spans="1:11" x14ac:dyDescent="0.3">
      <c r="A36" s="12" t="s">
        <v>430</v>
      </c>
      <c r="B36" t="s">
        <v>496</v>
      </c>
      <c r="C36" t="s">
        <v>497</v>
      </c>
      <c r="D36" t="s">
        <v>441</v>
      </c>
      <c r="E36" s="4" t="s">
        <v>318</v>
      </c>
      <c r="F36" t="s">
        <v>9</v>
      </c>
      <c r="G36" t="s">
        <v>595</v>
      </c>
      <c r="H36" s="4"/>
      <c r="I36" s="4"/>
      <c r="K36" s="4" t="str">
        <f t="shared" si="1"/>
        <v>CM32FC</v>
      </c>
    </row>
    <row r="37" spans="1:11" x14ac:dyDescent="0.3">
      <c r="A37" s="12" t="s">
        <v>430</v>
      </c>
      <c r="B37" t="s">
        <v>498</v>
      </c>
      <c r="C37" t="s">
        <v>499</v>
      </c>
      <c r="D37" t="s">
        <v>441</v>
      </c>
      <c r="E37" s="4" t="s">
        <v>318</v>
      </c>
      <c r="F37" t="s">
        <v>9</v>
      </c>
      <c r="G37" t="s">
        <v>595</v>
      </c>
      <c r="H37" s="4"/>
      <c r="I37" s="4"/>
      <c r="K37" s="4" t="str">
        <f t="shared" si="1"/>
        <v>CM32FC</v>
      </c>
    </row>
    <row r="38" spans="1:11" x14ac:dyDescent="0.3">
      <c r="A38" s="12" t="s">
        <v>430</v>
      </c>
      <c r="B38" t="s">
        <v>500</v>
      </c>
      <c r="C38" t="s">
        <v>499</v>
      </c>
      <c r="D38" t="s">
        <v>441</v>
      </c>
      <c r="E38" s="4" t="s">
        <v>318</v>
      </c>
      <c r="F38" t="s">
        <v>9</v>
      </c>
      <c r="G38" t="s">
        <v>595</v>
      </c>
      <c r="H38" s="4"/>
      <c r="I38" s="4"/>
      <c r="K38" s="4" t="str">
        <f t="shared" si="1"/>
        <v>CM32FC</v>
      </c>
    </row>
    <row r="39" spans="1:11" x14ac:dyDescent="0.3">
      <c r="A39" s="12" t="s">
        <v>422</v>
      </c>
      <c r="B39" t="s">
        <v>501</v>
      </c>
      <c r="C39" t="s">
        <v>502</v>
      </c>
      <c r="D39" t="s">
        <v>441</v>
      </c>
      <c r="E39" s="4" t="s">
        <v>318</v>
      </c>
      <c r="F39" t="s">
        <v>9</v>
      </c>
      <c r="G39" t="s">
        <v>595</v>
      </c>
      <c r="H39" s="4"/>
      <c r="I39" s="4"/>
      <c r="K39" s="4" t="str">
        <f t="shared" si="1"/>
        <v>CM32FC</v>
      </c>
    </row>
    <row r="40" spans="1:11" x14ac:dyDescent="0.3">
      <c r="A40" s="12" t="s">
        <v>422</v>
      </c>
      <c r="B40" t="s">
        <v>503</v>
      </c>
      <c r="C40" t="s">
        <v>504</v>
      </c>
      <c r="D40" t="s">
        <v>108</v>
      </c>
      <c r="E40" s="4" t="s">
        <v>339</v>
      </c>
      <c r="F40" t="s">
        <v>9</v>
      </c>
      <c r="G40" t="s">
        <v>595</v>
      </c>
      <c r="H40" s="4"/>
      <c r="I40" s="4"/>
      <c r="K40" s="4" t="str">
        <f t="shared" ref="K40:K83" si="2">IF(MID(C40,1,5) = "N/A","N/A",MID(C40,1,5))</f>
        <v>LAP51</v>
      </c>
    </row>
    <row r="41" spans="1:11" x14ac:dyDescent="0.3">
      <c r="A41" s="12" t="s">
        <v>422</v>
      </c>
      <c r="B41" t="s">
        <v>505</v>
      </c>
      <c r="C41" t="s">
        <v>506</v>
      </c>
      <c r="D41" t="s">
        <v>108</v>
      </c>
      <c r="E41" s="4" t="s">
        <v>339</v>
      </c>
      <c r="F41" t="s">
        <v>9</v>
      </c>
      <c r="G41" t="s">
        <v>595</v>
      </c>
      <c r="H41" s="4"/>
      <c r="I41" s="4"/>
      <c r="K41" s="4" t="str">
        <f t="shared" si="2"/>
        <v>LAP51</v>
      </c>
    </row>
    <row r="42" spans="1:11" x14ac:dyDescent="0.3">
      <c r="A42" s="12" t="s">
        <v>422</v>
      </c>
      <c r="B42" t="s">
        <v>507</v>
      </c>
      <c r="C42" t="s">
        <v>508</v>
      </c>
      <c r="D42" t="s">
        <v>108</v>
      </c>
      <c r="E42" s="4" t="s">
        <v>339</v>
      </c>
      <c r="F42" t="s">
        <v>9</v>
      </c>
      <c r="G42" t="s">
        <v>595</v>
      </c>
      <c r="H42" s="4"/>
      <c r="I42" s="4"/>
      <c r="K42" s="4" t="str">
        <f t="shared" si="2"/>
        <v>LAP51</v>
      </c>
    </row>
    <row r="43" spans="1:11" x14ac:dyDescent="0.3">
      <c r="A43" s="12" t="s">
        <v>430</v>
      </c>
      <c r="B43" t="s">
        <v>509</v>
      </c>
      <c r="C43" t="s">
        <v>510</v>
      </c>
      <c r="D43" t="s">
        <v>142</v>
      </c>
      <c r="E43" s="4" t="s">
        <v>375</v>
      </c>
      <c r="F43" t="s">
        <v>9</v>
      </c>
      <c r="G43" t="s">
        <v>595</v>
      </c>
      <c r="H43" s="4"/>
      <c r="I43" s="4"/>
      <c r="K43" s="4" t="str">
        <f t="shared" si="2"/>
        <v>NAS11</v>
      </c>
    </row>
    <row r="44" spans="1:11" x14ac:dyDescent="0.3">
      <c r="A44" s="12" t="s">
        <v>422</v>
      </c>
      <c r="B44" t="s">
        <v>511</v>
      </c>
      <c r="C44" t="s">
        <v>512</v>
      </c>
      <c r="D44" t="s">
        <v>102</v>
      </c>
      <c r="E44" s="4" t="s">
        <v>333</v>
      </c>
      <c r="F44" t="s">
        <v>9</v>
      </c>
      <c r="G44" t="s">
        <v>595</v>
      </c>
      <c r="H44" s="4"/>
      <c r="I44" s="4"/>
      <c r="K44" s="4" t="str">
        <f t="shared" si="2"/>
        <v>LAP45</v>
      </c>
    </row>
    <row r="45" spans="1:11" x14ac:dyDescent="0.3">
      <c r="A45" s="12" t="s">
        <v>422</v>
      </c>
      <c r="B45" t="s">
        <v>513</v>
      </c>
      <c r="C45" t="s">
        <v>514</v>
      </c>
      <c r="D45" t="s">
        <v>102</v>
      </c>
      <c r="E45" s="4" t="s">
        <v>333</v>
      </c>
      <c r="F45" t="s">
        <v>9</v>
      </c>
      <c r="G45" t="s">
        <v>595</v>
      </c>
      <c r="H45" s="4"/>
      <c r="I45" s="4"/>
      <c r="K45" s="4" t="str">
        <f t="shared" si="2"/>
        <v>LAP45</v>
      </c>
    </row>
    <row r="46" spans="1:11" x14ac:dyDescent="0.3">
      <c r="A46" s="12" t="s">
        <v>430</v>
      </c>
      <c r="B46" t="s">
        <v>515</v>
      </c>
      <c r="C46" t="s">
        <v>516</v>
      </c>
      <c r="D46" t="s">
        <v>7</v>
      </c>
      <c r="E46" s="4" t="s">
        <v>8</v>
      </c>
      <c r="F46" t="s">
        <v>9</v>
      </c>
      <c r="G46" t="s">
        <v>595</v>
      </c>
      <c r="H46" s="4"/>
      <c r="I46" s="4"/>
      <c r="K46" s="4" t="str">
        <f>IF(MID(C46,1,6) = "N/A","N/A",MID(C46,1,6))</f>
        <v>LEDT-2</v>
      </c>
    </row>
    <row r="47" spans="1:11" x14ac:dyDescent="0.3">
      <c r="A47" s="12" t="s">
        <v>422</v>
      </c>
      <c r="B47" t="s">
        <v>517</v>
      </c>
      <c r="C47" t="s">
        <v>518</v>
      </c>
      <c r="D47" t="s">
        <v>7</v>
      </c>
      <c r="E47" s="4" t="s">
        <v>8</v>
      </c>
      <c r="F47" t="s">
        <v>9</v>
      </c>
      <c r="G47" t="s">
        <v>595</v>
      </c>
      <c r="H47" s="4"/>
      <c r="I47" s="4"/>
      <c r="K47" s="4" t="str">
        <f t="shared" ref="K47:K79" si="3">IF(MID(C47,1,6) = "N/A","N/A",MID(C47,1,6))</f>
        <v>LEDT-2</v>
      </c>
    </row>
    <row r="48" spans="1:11" x14ac:dyDescent="0.3">
      <c r="A48" s="12" t="s">
        <v>422</v>
      </c>
      <c r="B48" t="s">
        <v>519</v>
      </c>
      <c r="C48" t="s">
        <v>520</v>
      </c>
      <c r="D48" t="s">
        <v>7</v>
      </c>
      <c r="E48" s="4" t="s">
        <v>8</v>
      </c>
      <c r="F48" t="s">
        <v>9</v>
      </c>
      <c r="G48" t="s">
        <v>595</v>
      </c>
      <c r="H48" s="4"/>
      <c r="I48" s="4"/>
      <c r="K48" s="4" t="str">
        <f t="shared" si="3"/>
        <v>LEDT-2</v>
      </c>
    </row>
    <row r="49" spans="1:11" x14ac:dyDescent="0.3">
      <c r="A49" s="12" t="s">
        <v>422</v>
      </c>
      <c r="B49" t="s">
        <v>521</v>
      </c>
      <c r="C49" t="s">
        <v>522</v>
      </c>
      <c r="D49" t="s">
        <v>7</v>
      </c>
      <c r="E49" s="4" t="s">
        <v>8</v>
      </c>
      <c r="F49" t="s">
        <v>9</v>
      </c>
      <c r="G49" t="s">
        <v>595</v>
      </c>
      <c r="H49" s="4"/>
      <c r="I49" s="4"/>
      <c r="K49" s="4" t="str">
        <f t="shared" si="3"/>
        <v>LEDT-2</v>
      </c>
    </row>
    <row r="50" spans="1:11" x14ac:dyDescent="0.3">
      <c r="A50" s="12" t="s">
        <v>422</v>
      </c>
      <c r="B50" t="s">
        <v>523</v>
      </c>
      <c r="C50" t="s">
        <v>524</v>
      </c>
      <c r="D50" t="s">
        <v>7</v>
      </c>
      <c r="E50" s="4" t="s">
        <v>8</v>
      </c>
      <c r="F50" t="s">
        <v>9</v>
      </c>
      <c r="G50" t="s">
        <v>595</v>
      </c>
      <c r="H50" s="4"/>
      <c r="I50" s="4"/>
      <c r="K50" s="4" t="str">
        <f t="shared" si="3"/>
        <v>LEDT-2</v>
      </c>
    </row>
    <row r="51" spans="1:11" x14ac:dyDescent="0.3">
      <c r="A51" s="12" t="s">
        <v>433</v>
      </c>
      <c r="B51" t="s">
        <v>525</v>
      </c>
      <c r="C51" t="s">
        <v>526</v>
      </c>
      <c r="D51" t="s">
        <v>43</v>
      </c>
      <c r="E51" s="4" t="s">
        <v>296</v>
      </c>
      <c r="F51" t="s">
        <v>9</v>
      </c>
      <c r="G51" t="s">
        <v>595</v>
      </c>
      <c r="H51" s="4"/>
      <c r="I51" s="4"/>
      <c r="K51" s="4" t="str">
        <f t="shared" si="3"/>
        <v>CM40T-</v>
      </c>
    </row>
    <row r="52" spans="1:11" x14ac:dyDescent="0.3">
      <c r="A52" s="12" t="s">
        <v>433</v>
      </c>
      <c r="B52" t="s">
        <v>527</v>
      </c>
      <c r="C52" t="s">
        <v>528</v>
      </c>
      <c r="D52" t="s">
        <v>43</v>
      </c>
      <c r="E52" s="4" t="s">
        <v>296</v>
      </c>
      <c r="F52" t="s">
        <v>9</v>
      </c>
      <c r="G52" t="s">
        <v>595</v>
      </c>
      <c r="H52" s="4"/>
      <c r="I52" s="4"/>
      <c r="K52" s="4" t="str">
        <f t="shared" si="3"/>
        <v>CM40T-</v>
      </c>
    </row>
    <row r="53" spans="1:11" x14ac:dyDescent="0.3">
      <c r="A53" s="12" t="s">
        <v>433</v>
      </c>
      <c r="B53" t="s">
        <v>529</v>
      </c>
      <c r="C53" t="s">
        <v>530</v>
      </c>
      <c r="D53" t="s">
        <v>43</v>
      </c>
      <c r="E53" s="4" t="s">
        <v>296</v>
      </c>
      <c r="F53" t="s">
        <v>9</v>
      </c>
      <c r="G53" t="s">
        <v>595</v>
      </c>
      <c r="H53" s="4"/>
      <c r="I53" s="4"/>
      <c r="K53" s="4" t="str">
        <f t="shared" si="3"/>
        <v>CM40T-</v>
      </c>
    </row>
    <row r="54" spans="1:11" x14ac:dyDescent="0.3">
      <c r="A54" s="12" t="s">
        <v>433</v>
      </c>
      <c r="B54" t="s">
        <v>531</v>
      </c>
      <c r="C54" t="s">
        <v>532</v>
      </c>
      <c r="D54" t="s">
        <v>43</v>
      </c>
      <c r="E54" s="4" t="s">
        <v>296</v>
      </c>
      <c r="F54" t="s">
        <v>9</v>
      </c>
      <c r="G54" t="s">
        <v>595</v>
      </c>
      <c r="H54" s="4"/>
      <c r="I54" s="4"/>
      <c r="K54" s="4" t="str">
        <f t="shared" si="3"/>
        <v>CM40T-</v>
      </c>
    </row>
    <row r="55" spans="1:11" x14ac:dyDescent="0.3">
      <c r="A55" s="12" t="s">
        <v>433</v>
      </c>
      <c r="B55" t="s">
        <v>533</v>
      </c>
      <c r="C55" t="s">
        <v>534</v>
      </c>
      <c r="D55" t="s">
        <v>46</v>
      </c>
      <c r="E55" s="4" t="s">
        <v>297</v>
      </c>
      <c r="F55" t="s">
        <v>9</v>
      </c>
      <c r="G55" t="s">
        <v>595</v>
      </c>
      <c r="H55" s="4"/>
      <c r="I55" s="4"/>
      <c r="K55" s="4" t="str">
        <f t="shared" si="3"/>
        <v>CMEND-</v>
      </c>
    </row>
    <row r="56" spans="1:11" x14ac:dyDescent="0.3">
      <c r="A56" s="12" t="s">
        <v>430</v>
      </c>
      <c r="B56" t="s">
        <v>535</v>
      </c>
      <c r="C56" t="s">
        <v>536</v>
      </c>
      <c r="D56" t="s">
        <v>63</v>
      </c>
      <c r="E56" s="4" t="s">
        <v>303</v>
      </c>
      <c r="F56" t="s">
        <v>9</v>
      </c>
      <c r="G56" t="s">
        <v>595</v>
      </c>
      <c r="H56" s="4"/>
      <c r="I56" s="4"/>
      <c r="K56" s="4" t="str">
        <f t="shared" si="3"/>
        <v>CMST27</v>
      </c>
    </row>
    <row r="57" spans="1:11" x14ac:dyDescent="0.3">
      <c r="A57" s="12" t="s">
        <v>430</v>
      </c>
      <c r="B57" t="s">
        <v>537</v>
      </c>
      <c r="C57" t="s">
        <v>538</v>
      </c>
      <c r="D57" t="s">
        <v>63</v>
      </c>
      <c r="E57" s="13" t="s">
        <v>303</v>
      </c>
      <c r="F57" t="s">
        <v>9</v>
      </c>
      <c r="G57" t="s">
        <v>595</v>
      </c>
      <c r="H57" s="14"/>
      <c r="I57" s="14"/>
      <c r="K57" s="4" t="str">
        <f t="shared" si="3"/>
        <v>CMST27</v>
      </c>
    </row>
    <row r="58" spans="1:11" x14ac:dyDescent="0.3">
      <c r="A58" s="12" t="s">
        <v>433</v>
      </c>
      <c r="B58" t="s">
        <v>539</v>
      </c>
      <c r="C58" t="s">
        <v>540</v>
      </c>
      <c r="D58" t="s">
        <v>43</v>
      </c>
      <c r="E58" s="13" t="s">
        <v>296</v>
      </c>
      <c r="F58" t="s">
        <v>9</v>
      </c>
      <c r="G58" t="s">
        <v>595</v>
      </c>
      <c r="H58" s="14"/>
      <c r="I58" s="14"/>
      <c r="K58" s="4" t="str">
        <f t="shared" si="3"/>
        <v>CM40T-</v>
      </c>
    </row>
    <row r="59" spans="1:11" x14ac:dyDescent="0.3">
      <c r="A59" s="12" t="s">
        <v>433</v>
      </c>
      <c r="B59" t="s">
        <v>541</v>
      </c>
      <c r="C59" t="s">
        <v>542</v>
      </c>
      <c r="D59" t="s">
        <v>43</v>
      </c>
      <c r="E59" s="13" t="s">
        <v>296</v>
      </c>
      <c r="F59" t="s">
        <v>9</v>
      </c>
      <c r="G59" t="s">
        <v>595</v>
      </c>
      <c r="H59" s="14"/>
      <c r="I59" s="14"/>
      <c r="K59" s="4" t="str">
        <f t="shared" si="3"/>
        <v>CM40T-</v>
      </c>
    </row>
    <row r="60" spans="1:11" x14ac:dyDescent="0.3">
      <c r="A60" s="12" t="s">
        <v>433</v>
      </c>
      <c r="B60" t="s">
        <v>543</v>
      </c>
      <c r="C60" t="s">
        <v>544</v>
      </c>
      <c r="D60" t="s">
        <v>7</v>
      </c>
      <c r="E60" s="13" t="s">
        <v>8</v>
      </c>
      <c r="F60" t="s">
        <v>9</v>
      </c>
      <c r="G60" t="s">
        <v>595</v>
      </c>
      <c r="H60" s="14"/>
      <c r="I60" s="14"/>
      <c r="K60" s="4" t="str">
        <f t="shared" si="3"/>
        <v>LEDT-2</v>
      </c>
    </row>
    <row r="61" spans="1:11" x14ac:dyDescent="0.3">
      <c r="A61" s="12" t="s">
        <v>433</v>
      </c>
      <c r="B61" t="s">
        <v>545</v>
      </c>
      <c r="C61" t="s">
        <v>546</v>
      </c>
      <c r="D61" t="s">
        <v>7</v>
      </c>
      <c r="E61" s="13" t="s">
        <v>8</v>
      </c>
      <c r="F61" t="s">
        <v>9</v>
      </c>
      <c r="G61" t="s">
        <v>595</v>
      </c>
      <c r="H61" s="14"/>
      <c r="I61" s="14"/>
      <c r="K61" s="4" t="str">
        <f t="shared" si="3"/>
        <v>LEDT-2</v>
      </c>
    </row>
    <row r="62" spans="1:11" x14ac:dyDescent="0.3">
      <c r="A62" s="12" t="s">
        <v>430</v>
      </c>
      <c r="B62" t="s">
        <v>547</v>
      </c>
      <c r="C62" t="s">
        <v>548</v>
      </c>
      <c r="D62" t="s">
        <v>143</v>
      </c>
      <c r="E62" s="13" t="s">
        <v>376</v>
      </c>
      <c r="F62" t="s">
        <v>9</v>
      </c>
      <c r="G62" t="s">
        <v>595</v>
      </c>
      <c r="H62" s="14"/>
      <c r="I62" s="14"/>
      <c r="K62" s="4" t="str">
        <f>IF(MID(C62,1,5) = "N/A","N/A",MID(C62,1,5))</f>
        <v>NAS12</v>
      </c>
    </row>
    <row r="63" spans="1:11" x14ac:dyDescent="0.3">
      <c r="A63" s="12" t="s">
        <v>549</v>
      </c>
      <c r="B63" t="s">
        <v>550</v>
      </c>
      <c r="C63" t="s">
        <v>551</v>
      </c>
      <c r="D63" t="s">
        <v>178</v>
      </c>
      <c r="E63" s="13" t="s">
        <v>411</v>
      </c>
      <c r="F63" t="s">
        <v>9</v>
      </c>
      <c r="G63" t="s">
        <v>595</v>
      </c>
      <c r="H63" s="14"/>
      <c r="I63" s="14"/>
      <c r="K63" s="4" t="str">
        <f>IF(MID(C63,1,5) = "N/A","N/A",MID(C63,1,5))</f>
        <v>HIS28</v>
      </c>
    </row>
    <row r="64" spans="1:11" x14ac:dyDescent="0.3">
      <c r="A64" s="12" t="s">
        <v>549</v>
      </c>
      <c r="B64" t="s">
        <v>552</v>
      </c>
      <c r="C64" t="s">
        <v>553</v>
      </c>
      <c r="D64" t="s">
        <v>178</v>
      </c>
      <c r="E64" s="13" t="s">
        <v>411</v>
      </c>
      <c r="F64" t="s">
        <v>9</v>
      </c>
      <c r="G64" t="s">
        <v>595</v>
      </c>
      <c r="H64" s="14"/>
      <c r="I64" s="14"/>
      <c r="K64" s="4" t="str">
        <f>IF(MID(C64,1,5) = "N/A","N/A",MID(C64,1,5))</f>
        <v>HIS28</v>
      </c>
    </row>
    <row r="65" spans="1:11" x14ac:dyDescent="0.3">
      <c r="A65" s="12" t="s">
        <v>422</v>
      </c>
      <c r="B65" t="s">
        <v>554</v>
      </c>
      <c r="C65" t="s">
        <v>555</v>
      </c>
      <c r="D65" t="s">
        <v>178</v>
      </c>
      <c r="E65" s="13" t="s">
        <v>411</v>
      </c>
      <c r="F65" t="s">
        <v>9</v>
      </c>
      <c r="G65" t="s">
        <v>595</v>
      </c>
      <c r="H65" s="14"/>
      <c r="I65" s="14"/>
      <c r="K65" s="4" t="str">
        <f>IF(MID(C65,1,5) = "N/A","N/A",MID(C65,1,5))</f>
        <v>HIS28</v>
      </c>
    </row>
    <row r="66" spans="1:11" x14ac:dyDescent="0.3">
      <c r="A66" s="12" t="s">
        <v>549</v>
      </c>
      <c r="B66" t="s">
        <v>556</v>
      </c>
      <c r="C66" t="s">
        <v>557</v>
      </c>
      <c r="D66" t="s">
        <v>178</v>
      </c>
      <c r="E66" s="13" t="s">
        <v>411</v>
      </c>
      <c r="F66" t="s">
        <v>9</v>
      </c>
      <c r="G66" t="s">
        <v>595</v>
      </c>
      <c r="H66" s="14"/>
      <c r="I66" s="14"/>
      <c r="K66" s="4" t="str">
        <f>IF(MID(C66,1,5) = "N/A","N/A",MID(C66,1,5))</f>
        <v>HIS28</v>
      </c>
    </row>
    <row r="67" spans="1:11" x14ac:dyDescent="0.3">
      <c r="A67" s="12" t="s">
        <v>430</v>
      </c>
      <c r="B67" t="s">
        <v>558</v>
      </c>
      <c r="C67" t="s">
        <v>559</v>
      </c>
      <c r="D67" t="s">
        <v>167</v>
      </c>
      <c r="E67" s="13" t="s">
        <v>400</v>
      </c>
      <c r="F67" t="s">
        <v>9</v>
      </c>
      <c r="G67" t="s">
        <v>595</v>
      </c>
      <c r="H67" s="14"/>
      <c r="I67" s="14"/>
      <c r="K67" s="4" t="str">
        <f>IF(MID(C67,1,5) = "N/A","N/A",MID(C67,1,5))</f>
        <v>CIS28</v>
      </c>
    </row>
    <row r="68" spans="1:11" x14ac:dyDescent="0.3">
      <c r="A68" s="12" t="s">
        <v>430</v>
      </c>
      <c r="B68" t="s">
        <v>560</v>
      </c>
      <c r="C68" t="s">
        <v>561</v>
      </c>
      <c r="D68" t="s">
        <v>167</v>
      </c>
      <c r="E68" s="13" t="s">
        <v>400</v>
      </c>
      <c r="F68" t="s">
        <v>9</v>
      </c>
      <c r="G68" t="s">
        <v>595</v>
      </c>
      <c r="H68" s="14"/>
      <c r="I68" s="14"/>
      <c r="K68" s="4" t="str">
        <f>IF(MID(C68,1,5) = "N/A","N/A",MID(C68,1,5))</f>
        <v>CIS28</v>
      </c>
    </row>
    <row r="69" spans="1:11" x14ac:dyDescent="0.3">
      <c r="A69" s="12" t="s">
        <v>549</v>
      </c>
      <c r="B69" t="s">
        <v>562</v>
      </c>
      <c r="C69" t="s">
        <v>563</v>
      </c>
      <c r="D69" t="s">
        <v>178</v>
      </c>
      <c r="E69" s="13" t="s">
        <v>411</v>
      </c>
      <c r="F69" t="s">
        <v>9</v>
      </c>
      <c r="G69" t="s">
        <v>595</v>
      </c>
      <c r="H69" s="14"/>
      <c r="I69" s="14"/>
      <c r="K69" s="4" t="str">
        <f>IF(MID(C69,1,5) = "N/A","N/A",MID(C69,1,5))</f>
        <v>HIS28</v>
      </c>
    </row>
    <row r="70" spans="1:11" x14ac:dyDescent="0.3">
      <c r="A70" s="12" t="s">
        <v>549</v>
      </c>
      <c r="B70" t="s">
        <v>564</v>
      </c>
      <c r="C70" t="s">
        <v>565</v>
      </c>
      <c r="D70" t="s">
        <v>178</v>
      </c>
      <c r="E70" s="13" t="s">
        <v>411</v>
      </c>
      <c r="F70" t="s">
        <v>9</v>
      </c>
      <c r="G70" t="s">
        <v>595</v>
      </c>
      <c r="H70" s="14"/>
      <c r="I70" s="14"/>
      <c r="K70" s="4" t="str">
        <f>IF(MID(C70,1,5) = "N/A","N/A",MID(C70,1,5))</f>
        <v>HIS28</v>
      </c>
    </row>
    <row r="71" spans="1:11" x14ac:dyDescent="0.3">
      <c r="A71" s="12" t="s">
        <v>549</v>
      </c>
      <c r="B71" t="s">
        <v>566</v>
      </c>
      <c r="C71" t="s">
        <v>567</v>
      </c>
      <c r="D71" t="s">
        <v>178</v>
      </c>
      <c r="E71" s="13" t="s">
        <v>411</v>
      </c>
      <c r="F71" t="s">
        <v>9</v>
      </c>
      <c r="G71" t="s">
        <v>595</v>
      </c>
      <c r="H71" s="14"/>
      <c r="I71" s="14"/>
      <c r="K71" s="4" t="str">
        <f>IF(MID(C71,1,5) = "N/A","N/A",MID(C71,1,5))</f>
        <v>HIS28</v>
      </c>
    </row>
    <row r="72" spans="1:11" x14ac:dyDescent="0.3">
      <c r="A72" s="12" t="s">
        <v>438</v>
      </c>
      <c r="B72" t="s">
        <v>568</v>
      </c>
      <c r="C72" t="s">
        <v>569</v>
      </c>
      <c r="D72" t="s">
        <v>58</v>
      </c>
      <c r="E72" s="13" t="s">
        <v>301</v>
      </c>
      <c r="F72" t="s">
        <v>9</v>
      </c>
      <c r="G72" t="s">
        <v>595</v>
      </c>
      <c r="H72" s="14"/>
      <c r="I72" s="14"/>
      <c r="K72" s="4" t="str">
        <f t="shared" si="3"/>
        <v>CMST-2</v>
      </c>
    </row>
    <row r="73" spans="1:11" x14ac:dyDescent="0.3">
      <c r="A73" s="12" t="s">
        <v>438</v>
      </c>
      <c r="B73" t="s">
        <v>570</v>
      </c>
      <c r="C73" t="s">
        <v>571</v>
      </c>
      <c r="D73" t="s">
        <v>58</v>
      </c>
      <c r="E73" s="13" t="s">
        <v>301</v>
      </c>
      <c r="F73" t="s">
        <v>9</v>
      </c>
      <c r="G73" t="s">
        <v>595</v>
      </c>
      <c r="H73" s="14"/>
      <c r="I73" s="14"/>
      <c r="K73" s="4" t="str">
        <f t="shared" si="3"/>
        <v>CMST-2</v>
      </c>
    </row>
    <row r="74" spans="1:11" x14ac:dyDescent="0.3">
      <c r="A74" s="12" t="s">
        <v>438</v>
      </c>
      <c r="B74" t="s">
        <v>572</v>
      </c>
      <c r="C74" t="s">
        <v>573</v>
      </c>
      <c r="D74" t="s">
        <v>58</v>
      </c>
      <c r="E74" s="13" t="s">
        <v>301</v>
      </c>
      <c r="F74" t="s">
        <v>9</v>
      </c>
      <c r="G74" t="s">
        <v>595</v>
      </c>
      <c r="H74" s="14"/>
      <c r="I74" s="14"/>
      <c r="K74" s="4" t="str">
        <f t="shared" si="3"/>
        <v>CMST-2</v>
      </c>
    </row>
    <row r="75" spans="1:11" x14ac:dyDescent="0.3">
      <c r="A75" s="12" t="s">
        <v>427</v>
      </c>
      <c r="B75" t="s">
        <v>574</v>
      </c>
      <c r="C75" t="s">
        <v>575</v>
      </c>
      <c r="D75" t="s">
        <v>58</v>
      </c>
      <c r="E75" s="13" t="s">
        <v>301</v>
      </c>
      <c r="F75" t="s">
        <v>9</v>
      </c>
      <c r="G75" t="s">
        <v>595</v>
      </c>
      <c r="H75" s="14"/>
      <c r="I75" s="14"/>
      <c r="K75" s="4" t="str">
        <f t="shared" si="3"/>
        <v>CMST-2</v>
      </c>
    </row>
    <row r="76" spans="1:11" x14ac:dyDescent="0.3">
      <c r="A76" s="12" t="s">
        <v>427</v>
      </c>
      <c r="B76" t="s">
        <v>576</v>
      </c>
      <c r="C76" t="s">
        <v>577</v>
      </c>
      <c r="D76" t="s">
        <v>58</v>
      </c>
      <c r="E76" s="13" t="s">
        <v>301</v>
      </c>
      <c r="F76" t="s">
        <v>9</v>
      </c>
      <c r="G76" t="s">
        <v>595</v>
      </c>
      <c r="H76" s="14"/>
      <c r="I76" s="14"/>
      <c r="K76" s="4" t="str">
        <f t="shared" si="3"/>
        <v>CMST-2</v>
      </c>
    </row>
    <row r="77" spans="1:11" x14ac:dyDescent="0.3">
      <c r="A77" s="12" t="s">
        <v>438</v>
      </c>
      <c r="B77" t="s">
        <v>578</v>
      </c>
      <c r="C77" t="s">
        <v>579</v>
      </c>
      <c r="D77" t="s">
        <v>63</v>
      </c>
      <c r="E77" s="13" t="s">
        <v>303</v>
      </c>
      <c r="F77" t="s">
        <v>9</v>
      </c>
      <c r="G77" t="s">
        <v>595</v>
      </c>
      <c r="H77" s="14"/>
      <c r="I77" s="14"/>
      <c r="K77" s="4" t="str">
        <f t="shared" si="3"/>
        <v>CMST27</v>
      </c>
    </row>
    <row r="78" spans="1:11" x14ac:dyDescent="0.3">
      <c r="A78" s="12" t="s">
        <v>438</v>
      </c>
      <c r="B78" t="s">
        <v>580</v>
      </c>
      <c r="C78" t="s">
        <v>581</v>
      </c>
      <c r="D78" t="s">
        <v>63</v>
      </c>
      <c r="E78" s="13" t="s">
        <v>303</v>
      </c>
      <c r="F78" t="s">
        <v>9</v>
      </c>
      <c r="G78" t="s">
        <v>595</v>
      </c>
      <c r="H78" s="14"/>
      <c r="I78" s="14"/>
      <c r="K78" s="4" t="str">
        <f t="shared" si="3"/>
        <v>CMST27</v>
      </c>
    </row>
    <row r="79" spans="1:11" x14ac:dyDescent="0.3">
      <c r="A79" s="12" t="s">
        <v>427</v>
      </c>
      <c r="B79" t="s">
        <v>582</v>
      </c>
      <c r="C79" t="s">
        <v>583</v>
      </c>
      <c r="D79" t="s">
        <v>63</v>
      </c>
      <c r="E79" s="13" t="s">
        <v>303</v>
      </c>
      <c r="F79" t="s">
        <v>9</v>
      </c>
      <c r="G79" t="s">
        <v>595</v>
      </c>
      <c r="H79" s="14"/>
      <c r="I79" s="14"/>
      <c r="K79" s="4" t="str">
        <f t="shared" si="3"/>
        <v>CMST27</v>
      </c>
    </row>
    <row r="80" spans="1:11" x14ac:dyDescent="0.3">
      <c r="A80" s="12" t="s">
        <v>433</v>
      </c>
      <c r="B80" t="s">
        <v>584</v>
      </c>
      <c r="C80" t="s">
        <v>585</v>
      </c>
      <c r="D80" t="s">
        <v>167</v>
      </c>
      <c r="E80" s="13" t="s">
        <v>400</v>
      </c>
      <c r="F80" t="s">
        <v>9</v>
      </c>
      <c r="G80" t="s">
        <v>595</v>
      </c>
      <c r="H80" s="14"/>
      <c r="I80" s="14"/>
      <c r="K80" s="4" t="str">
        <f t="shared" si="2"/>
        <v>CIS28</v>
      </c>
    </row>
    <row r="81" spans="1:11" x14ac:dyDescent="0.3">
      <c r="A81" s="12" t="s">
        <v>433</v>
      </c>
      <c r="B81" t="s">
        <v>586</v>
      </c>
      <c r="C81" t="s">
        <v>587</v>
      </c>
      <c r="D81" t="s">
        <v>167</v>
      </c>
      <c r="E81" s="13" t="s">
        <v>400</v>
      </c>
      <c r="F81" t="s">
        <v>9</v>
      </c>
      <c r="G81" t="s">
        <v>595</v>
      </c>
      <c r="H81" s="14"/>
      <c r="I81" s="14"/>
      <c r="K81" s="4" t="str">
        <f t="shared" si="2"/>
        <v>CIS28</v>
      </c>
    </row>
    <row r="82" spans="1:11" x14ac:dyDescent="0.3">
      <c r="A82" s="12" t="s">
        <v>433</v>
      </c>
      <c r="B82" t="s">
        <v>588</v>
      </c>
      <c r="C82" t="s">
        <v>589</v>
      </c>
      <c r="D82" t="s">
        <v>167</v>
      </c>
      <c r="E82" s="13" t="s">
        <v>400</v>
      </c>
      <c r="F82" t="s">
        <v>9</v>
      </c>
      <c r="G82" t="s">
        <v>595</v>
      </c>
      <c r="H82" s="14"/>
      <c r="I82" s="14"/>
      <c r="K82" s="4" t="str">
        <f t="shared" si="2"/>
        <v>CIS28</v>
      </c>
    </row>
    <row r="83" spans="1:11" x14ac:dyDescent="0.3">
      <c r="A83" s="12" t="s">
        <v>433</v>
      </c>
      <c r="B83" t="s">
        <v>590</v>
      </c>
      <c r="C83" t="s">
        <v>591</v>
      </c>
      <c r="D83" t="s">
        <v>167</v>
      </c>
      <c r="E83" s="13" t="s">
        <v>400</v>
      </c>
      <c r="F83" t="s">
        <v>9</v>
      </c>
      <c r="G83" t="s">
        <v>595</v>
      </c>
      <c r="H83" s="14"/>
      <c r="I83" s="14"/>
      <c r="K83" s="4" t="str">
        <f t="shared" si="2"/>
        <v>CIS28</v>
      </c>
    </row>
    <row r="84" spans="1:11" x14ac:dyDescent="0.3">
      <c r="A84" s="12" t="s">
        <v>592</v>
      </c>
      <c r="B84" t="s">
        <v>593</v>
      </c>
      <c r="C84" t="s">
        <v>594</v>
      </c>
      <c r="D84" t="s">
        <v>75</v>
      </c>
      <c r="E84" s="13" t="s">
        <v>312</v>
      </c>
      <c r="F84" t="s">
        <v>9</v>
      </c>
      <c r="G84" t="s">
        <v>595</v>
      </c>
      <c r="H84" s="14"/>
      <c r="I84" s="14"/>
      <c r="K84" s="4" t="str">
        <f t="shared" ref="K59:K111" si="4">IF(MID(C84,1,6) = "N/A","N/A",MID(C84,1,6))</f>
        <v>SC4KT-</v>
      </c>
    </row>
    <row r="85" spans="1:11" x14ac:dyDescent="0.3">
      <c r="K85" s="4" t="str">
        <f t="shared" si="4"/>
        <v/>
      </c>
    </row>
    <row r="86" spans="1:11" x14ac:dyDescent="0.3">
      <c r="K86" s="4" t="str">
        <f t="shared" si="4"/>
        <v/>
      </c>
    </row>
    <row r="87" spans="1:11" x14ac:dyDescent="0.3">
      <c r="K87" s="4" t="str">
        <f t="shared" si="4"/>
        <v/>
      </c>
    </row>
    <row r="88" spans="1:11" x14ac:dyDescent="0.3">
      <c r="K88" s="4" t="str">
        <f t="shared" si="4"/>
        <v/>
      </c>
    </row>
    <row r="89" spans="1:11" x14ac:dyDescent="0.3">
      <c r="K89" s="4" t="str">
        <f t="shared" si="4"/>
        <v/>
      </c>
    </row>
    <row r="90" spans="1:11" x14ac:dyDescent="0.3">
      <c r="K90" s="4" t="str">
        <f t="shared" si="4"/>
        <v/>
      </c>
    </row>
    <row r="91" spans="1:11" x14ac:dyDescent="0.3">
      <c r="K91" s="4" t="str">
        <f t="shared" si="4"/>
        <v/>
      </c>
    </row>
    <row r="92" spans="1:11" x14ac:dyDescent="0.3">
      <c r="K92" s="4" t="str">
        <f t="shared" si="4"/>
        <v/>
      </c>
    </row>
    <row r="93" spans="1:11" x14ac:dyDescent="0.3">
      <c r="K93" s="4" t="str">
        <f t="shared" si="4"/>
        <v/>
      </c>
    </row>
    <row r="94" spans="1:11" x14ac:dyDescent="0.3">
      <c r="K94" s="4" t="str">
        <f t="shared" si="4"/>
        <v/>
      </c>
    </row>
    <row r="95" spans="1:11" x14ac:dyDescent="0.3">
      <c r="K95" s="4" t="str">
        <f t="shared" si="4"/>
        <v/>
      </c>
    </row>
    <row r="96" spans="1:11" x14ac:dyDescent="0.3">
      <c r="K96" s="4" t="str">
        <f t="shared" si="4"/>
        <v/>
      </c>
    </row>
    <row r="97" spans="11:11" x14ac:dyDescent="0.3">
      <c r="K97" s="4" t="str">
        <f t="shared" si="4"/>
        <v/>
      </c>
    </row>
    <row r="98" spans="11:11" x14ac:dyDescent="0.3">
      <c r="K98" s="4" t="str">
        <f t="shared" si="4"/>
        <v/>
      </c>
    </row>
    <row r="99" spans="11:11" x14ac:dyDescent="0.3">
      <c r="K99" s="4" t="str">
        <f t="shared" si="4"/>
        <v/>
      </c>
    </row>
    <row r="100" spans="11:11" x14ac:dyDescent="0.3">
      <c r="K100" s="4" t="str">
        <f t="shared" si="4"/>
        <v/>
      </c>
    </row>
    <row r="101" spans="11:11" x14ac:dyDescent="0.3">
      <c r="K101" s="4" t="str">
        <f t="shared" si="4"/>
        <v/>
      </c>
    </row>
    <row r="102" spans="11:11" x14ac:dyDescent="0.3">
      <c r="K102" s="4" t="str">
        <f t="shared" si="4"/>
        <v/>
      </c>
    </row>
    <row r="103" spans="11:11" x14ac:dyDescent="0.3">
      <c r="K103" s="4" t="str">
        <f t="shared" si="4"/>
        <v/>
      </c>
    </row>
    <row r="104" spans="11:11" x14ac:dyDescent="0.3">
      <c r="K104" s="4" t="str">
        <f t="shared" si="4"/>
        <v/>
      </c>
    </row>
    <row r="105" spans="11:11" x14ac:dyDescent="0.3">
      <c r="K105" s="4" t="str">
        <f t="shared" si="4"/>
        <v/>
      </c>
    </row>
    <row r="106" spans="11:11" x14ac:dyDescent="0.3">
      <c r="K106" s="4" t="str">
        <f t="shared" si="4"/>
        <v/>
      </c>
    </row>
    <row r="107" spans="11:11" x14ac:dyDescent="0.3">
      <c r="K107" s="4" t="str">
        <f t="shared" si="4"/>
        <v/>
      </c>
    </row>
    <row r="108" spans="11:11" x14ac:dyDescent="0.3">
      <c r="K108" s="4" t="str">
        <f t="shared" si="4"/>
        <v/>
      </c>
    </row>
    <row r="109" spans="11:11" x14ac:dyDescent="0.3">
      <c r="K109" s="4" t="str">
        <f t="shared" si="4"/>
        <v/>
      </c>
    </row>
    <row r="110" spans="11:11" x14ac:dyDescent="0.3">
      <c r="K110" s="4" t="str">
        <f t="shared" si="4"/>
        <v/>
      </c>
    </row>
    <row r="111" spans="11:11" x14ac:dyDescent="0.3">
      <c r="K111" s="4" t="str">
        <f t="shared" si="4"/>
        <v/>
      </c>
    </row>
    <row r="112" spans="11:11" x14ac:dyDescent="0.3">
      <c r="K112" s="4" t="str">
        <f t="shared" ref="K112:K124" si="5">IF(MID(C112,1,5) = "N/A","N/A",MID(C112,1,5))</f>
        <v/>
      </c>
    </row>
    <row r="113" spans="11:11" x14ac:dyDescent="0.3">
      <c r="K113" s="4" t="str">
        <f t="shared" si="5"/>
        <v/>
      </c>
    </row>
    <row r="114" spans="11:11" x14ac:dyDescent="0.3">
      <c r="K114" s="4" t="str">
        <f t="shared" si="5"/>
        <v/>
      </c>
    </row>
    <row r="115" spans="11:11" x14ac:dyDescent="0.3">
      <c r="K115" s="4" t="str">
        <f t="shared" si="5"/>
        <v/>
      </c>
    </row>
    <row r="116" spans="11:11" x14ac:dyDescent="0.3">
      <c r="K116" s="4" t="str">
        <f t="shared" si="5"/>
        <v/>
      </c>
    </row>
    <row r="117" spans="11:11" x14ac:dyDescent="0.3">
      <c r="K117" s="4" t="str">
        <f t="shared" si="5"/>
        <v/>
      </c>
    </row>
    <row r="118" spans="11:11" x14ac:dyDescent="0.3">
      <c r="K118" s="4" t="str">
        <f t="shared" si="5"/>
        <v/>
      </c>
    </row>
    <row r="119" spans="11:11" x14ac:dyDescent="0.3">
      <c r="K119" s="4" t="str">
        <f t="shared" si="5"/>
        <v/>
      </c>
    </row>
    <row r="120" spans="11:11" x14ac:dyDescent="0.3">
      <c r="K120" s="4" t="str">
        <f t="shared" si="5"/>
        <v/>
      </c>
    </row>
    <row r="121" spans="11:11" x14ac:dyDescent="0.3">
      <c r="K121" s="4" t="str">
        <f t="shared" si="5"/>
        <v/>
      </c>
    </row>
    <row r="122" spans="11:11" x14ac:dyDescent="0.3">
      <c r="K122" s="4" t="str">
        <f t="shared" si="5"/>
        <v/>
      </c>
    </row>
    <row r="123" spans="11:11" x14ac:dyDescent="0.3">
      <c r="K123" s="4" t="str">
        <f t="shared" si="5"/>
        <v/>
      </c>
    </row>
    <row r="124" spans="11:11" x14ac:dyDescent="0.3">
      <c r="K124" s="4" t="str">
        <f t="shared" si="5"/>
        <v/>
      </c>
    </row>
    <row r="125" spans="11:11" x14ac:dyDescent="0.3">
      <c r="K125" s="4" t="str">
        <f>IF(MID(C125,1,6) = "N/A","N/A",MID(C125,1,6))</f>
        <v/>
      </c>
    </row>
    <row r="126" spans="11:11" x14ac:dyDescent="0.3">
      <c r="K126" s="4" t="str">
        <f>IF(MID(C126,1,6) = "N/A","N/A",MID(C126,1,6))</f>
        <v/>
      </c>
    </row>
    <row r="127" spans="11:11" x14ac:dyDescent="0.3">
      <c r="K127" s="4" t="str">
        <f>IF(MID(C127,1,6) = "N/A","N/A",MID(C127,1,6))</f>
        <v/>
      </c>
    </row>
    <row r="128" spans="11:11" x14ac:dyDescent="0.3">
      <c r="K128" s="4" t="str">
        <f>IF(MID(C128,1,6) = "N/A","N/A",MID(C128,1,6))</f>
        <v/>
      </c>
    </row>
    <row r="129" spans="11:11" x14ac:dyDescent="0.3">
      <c r="K129" s="4" t="str">
        <f>IF(MID(C129,1,6) = "N/A","N/A",MID(C129,1,6))</f>
        <v/>
      </c>
    </row>
    <row r="130" spans="11:11" x14ac:dyDescent="0.3">
      <c r="K130" s="4" t="str">
        <f>IF(MID(C130,1,5) = "N/A","N/A",MID(C130,1,5))</f>
        <v/>
      </c>
    </row>
    <row r="131" spans="11:11" x14ac:dyDescent="0.3">
      <c r="K131" s="4" t="str">
        <f>IF(MID(C131,1,5) = "N/A","N/A",MID(C131,1,5))</f>
        <v/>
      </c>
    </row>
    <row r="132" spans="11:11" x14ac:dyDescent="0.3">
      <c r="K132" s="4" t="str">
        <f>IF(MID(C132,1,5) = "N/A","N/A",MID(C132,1,5))</f>
        <v/>
      </c>
    </row>
    <row r="133" spans="11:11" x14ac:dyDescent="0.3">
      <c r="K133" s="4" t="str">
        <f>IF(MID(C133,1,5) = "N/A","N/A",MID(C133,1,5))</f>
        <v/>
      </c>
    </row>
    <row r="134" spans="11:11" x14ac:dyDescent="0.3">
      <c r="K134" s="4" t="str">
        <f>IF(MID(C134,1,5) = "N/A","N/A",MID(C134,1,5))</f>
        <v/>
      </c>
    </row>
    <row r="135" spans="11:11" x14ac:dyDescent="0.3">
      <c r="K135" s="4" t="str">
        <f t="shared" ref="K135:K169" si="6">IF(MID(C135,1,6) = "N/A","N/A",MID(C135,1,6))</f>
        <v/>
      </c>
    </row>
    <row r="136" spans="11:11" x14ac:dyDescent="0.3">
      <c r="K136" s="4" t="str">
        <f t="shared" si="6"/>
        <v/>
      </c>
    </row>
    <row r="137" spans="11:11" x14ac:dyDescent="0.3">
      <c r="K137" s="4" t="str">
        <f t="shared" si="6"/>
        <v/>
      </c>
    </row>
    <row r="138" spans="11:11" x14ac:dyDescent="0.3">
      <c r="K138" s="4" t="str">
        <f t="shared" si="6"/>
        <v/>
      </c>
    </row>
    <row r="139" spans="11:11" x14ac:dyDescent="0.3">
      <c r="K139" s="4" t="str">
        <f t="shared" si="6"/>
        <v/>
      </c>
    </row>
    <row r="140" spans="11:11" x14ac:dyDescent="0.3">
      <c r="K140" s="4" t="str">
        <f t="shared" si="6"/>
        <v/>
      </c>
    </row>
    <row r="141" spans="11:11" x14ac:dyDescent="0.3">
      <c r="K141" s="4" t="str">
        <f t="shared" si="6"/>
        <v/>
      </c>
    </row>
    <row r="142" spans="11:11" x14ac:dyDescent="0.3">
      <c r="K142" s="4" t="str">
        <f t="shared" si="6"/>
        <v/>
      </c>
    </row>
    <row r="143" spans="11:11" x14ac:dyDescent="0.3">
      <c r="K143" s="4" t="str">
        <f t="shared" si="6"/>
        <v/>
      </c>
    </row>
    <row r="144" spans="11:11" x14ac:dyDescent="0.3">
      <c r="K144" s="4" t="str">
        <f t="shared" si="6"/>
        <v/>
      </c>
    </row>
    <row r="145" spans="11:11" x14ac:dyDescent="0.3">
      <c r="K145" s="4" t="str">
        <f t="shared" si="6"/>
        <v/>
      </c>
    </row>
    <row r="146" spans="11:11" x14ac:dyDescent="0.3">
      <c r="K146" s="4" t="str">
        <f t="shared" si="6"/>
        <v/>
      </c>
    </row>
    <row r="147" spans="11:11" x14ac:dyDescent="0.3">
      <c r="K147" s="4" t="str">
        <f t="shared" si="6"/>
        <v/>
      </c>
    </row>
    <row r="148" spans="11:11" x14ac:dyDescent="0.3">
      <c r="K148" s="4" t="str">
        <f t="shared" si="6"/>
        <v/>
      </c>
    </row>
    <row r="149" spans="11:11" x14ac:dyDescent="0.3">
      <c r="K149" s="4" t="str">
        <f t="shared" si="6"/>
        <v/>
      </c>
    </row>
    <row r="150" spans="11:11" x14ac:dyDescent="0.3">
      <c r="K150" s="4" t="str">
        <f t="shared" si="6"/>
        <v/>
      </c>
    </row>
    <row r="151" spans="11:11" x14ac:dyDescent="0.3">
      <c r="K151" s="4" t="str">
        <f t="shared" si="6"/>
        <v/>
      </c>
    </row>
    <row r="152" spans="11:11" x14ac:dyDescent="0.3">
      <c r="K152" s="4" t="str">
        <f t="shared" si="6"/>
        <v/>
      </c>
    </row>
    <row r="153" spans="11:11" x14ac:dyDescent="0.3">
      <c r="K153" s="4" t="str">
        <f t="shared" si="6"/>
        <v/>
      </c>
    </row>
    <row r="154" spans="11:11" x14ac:dyDescent="0.3">
      <c r="K154" s="4" t="str">
        <f t="shared" si="6"/>
        <v/>
      </c>
    </row>
    <row r="155" spans="11:11" x14ac:dyDescent="0.3">
      <c r="K155" s="4" t="str">
        <f t="shared" si="6"/>
        <v/>
      </c>
    </row>
    <row r="156" spans="11:11" x14ac:dyDescent="0.3">
      <c r="K156" s="4" t="str">
        <f t="shared" si="6"/>
        <v/>
      </c>
    </row>
    <row r="157" spans="11:11" x14ac:dyDescent="0.3">
      <c r="K157" s="4" t="str">
        <f t="shared" si="6"/>
        <v/>
      </c>
    </row>
    <row r="158" spans="11:11" x14ac:dyDescent="0.3">
      <c r="K158" s="4" t="str">
        <f t="shared" si="6"/>
        <v/>
      </c>
    </row>
    <row r="159" spans="11:11" x14ac:dyDescent="0.3">
      <c r="K159" s="4" t="str">
        <f t="shared" si="6"/>
        <v/>
      </c>
    </row>
    <row r="160" spans="11:11" x14ac:dyDescent="0.3">
      <c r="K160" s="4" t="str">
        <f t="shared" si="6"/>
        <v/>
      </c>
    </row>
    <row r="161" spans="11:11" x14ac:dyDescent="0.3">
      <c r="K161" s="4" t="str">
        <f t="shared" si="6"/>
        <v/>
      </c>
    </row>
    <row r="162" spans="11:11" x14ac:dyDescent="0.3">
      <c r="K162" s="4" t="str">
        <f t="shared" si="6"/>
        <v/>
      </c>
    </row>
    <row r="163" spans="11:11" x14ac:dyDescent="0.3">
      <c r="K163" s="4" t="str">
        <f t="shared" si="6"/>
        <v/>
      </c>
    </row>
    <row r="164" spans="11:11" x14ac:dyDescent="0.3">
      <c r="K164" s="4" t="str">
        <f t="shared" si="6"/>
        <v/>
      </c>
    </row>
    <row r="165" spans="11:11" x14ac:dyDescent="0.3">
      <c r="K165" s="4" t="str">
        <f t="shared" si="6"/>
        <v/>
      </c>
    </row>
    <row r="166" spans="11:11" x14ac:dyDescent="0.3">
      <c r="K166" s="4" t="str">
        <f t="shared" si="6"/>
        <v/>
      </c>
    </row>
    <row r="167" spans="11:11" x14ac:dyDescent="0.3">
      <c r="K167" s="4" t="str">
        <f t="shared" si="6"/>
        <v/>
      </c>
    </row>
    <row r="168" spans="11:11" x14ac:dyDescent="0.3">
      <c r="K168" s="4" t="str">
        <f t="shared" si="6"/>
        <v/>
      </c>
    </row>
    <row r="169" spans="11:11" x14ac:dyDescent="0.3">
      <c r="K169" s="4" t="str">
        <f t="shared" si="6"/>
        <v/>
      </c>
    </row>
    <row r="170" spans="11:11" x14ac:dyDescent="0.3">
      <c r="K170" s="4" t="str">
        <f t="shared" ref="K170:K177" si="7">IF(MID(C170,1,5) = "N/A","N/A",MID(C170,1,5))</f>
        <v/>
      </c>
    </row>
    <row r="171" spans="11:11" x14ac:dyDescent="0.3">
      <c r="K171" s="4" t="str">
        <f t="shared" si="7"/>
        <v/>
      </c>
    </row>
    <row r="172" spans="11:11" x14ac:dyDescent="0.3">
      <c r="K172" s="4" t="str">
        <f t="shared" si="7"/>
        <v/>
      </c>
    </row>
    <row r="173" spans="11:11" x14ac:dyDescent="0.3">
      <c r="K173" s="4" t="str">
        <f t="shared" si="7"/>
        <v/>
      </c>
    </row>
    <row r="174" spans="11:11" x14ac:dyDescent="0.3">
      <c r="K174" s="4" t="str">
        <f t="shared" si="7"/>
        <v/>
      </c>
    </row>
    <row r="175" spans="11:11" x14ac:dyDescent="0.3">
      <c r="K175" s="4" t="str">
        <f t="shared" si="7"/>
        <v/>
      </c>
    </row>
    <row r="176" spans="11:11" x14ac:dyDescent="0.3">
      <c r="K176" s="4" t="str">
        <f t="shared" si="7"/>
        <v/>
      </c>
    </row>
    <row r="177" spans="11:11" x14ac:dyDescent="0.3">
      <c r="K177" s="4" t="str">
        <f t="shared" si="7"/>
        <v/>
      </c>
    </row>
    <row r="178" spans="11:11" x14ac:dyDescent="0.3">
      <c r="K178" s="4" t="str">
        <f t="shared" ref="K178:K183" si="8">IF(MID(C178,1,6) = "N/A","N/A",MID(C178,1,6))</f>
        <v/>
      </c>
    </row>
    <row r="179" spans="11:11" x14ac:dyDescent="0.3">
      <c r="K179" s="4" t="str">
        <f t="shared" si="8"/>
        <v/>
      </c>
    </row>
    <row r="180" spans="11:11" x14ac:dyDescent="0.3">
      <c r="K180" s="4" t="str">
        <f t="shared" si="8"/>
        <v/>
      </c>
    </row>
    <row r="181" spans="11:11" x14ac:dyDescent="0.3">
      <c r="K181" s="4" t="str">
        <f t="shared" si="8"/>
        <v/>
      </c>
    </row>
    <row r="182" spans="11:11" x14ac:dyDescent="0.3">
      <c r="K182" s="4" t="str">
        <f t="shared" si="8"/>
        <v/>
      </c>
    </row>
    <row r="183" spans="11:11" x14ac:dyDescent="0.3">
      <c r="K183" s="4" t="str">
        <f t="shared" si="8"/>
        <v/>
      </c>
    </row>
    <row r="184" spans="11:11" x14ac:dyDescent="0.3">
      <c r="K184" s="4" t="str">
        <f>IF(MID(C184,1,5) = "N/A","N/A",MID(C184,1,5))</f>
        <v/>
      </c>
    </row>
    <row r="185" spans="11:11" x14ac:dyDescent="0.3">
      <c r="K185" s="4" t="str">
        <f>IF(MID(C185,1,5) = "N/A","N/A",MID(C185,1,5))</f>
        <v/>
      </c>
    </row>
    <row r="186" spans="11:11" x14ac:dyDescent="0.3">
      <c r="K186" s="4" t="str">
        <f t="shared" ref="K186:K202" si="9">IF(MID(C186,1,6) = "N/A","N/A",MID(C186,1,6))</f>
        <v/>
      </c>
    </row>
    <row r="187" spans="11:11" x14ac:dyDescent="0.3">
      <c r="K187" s="4" t="str">
        <f t="shared" si="9"/>
        <v/>
      </c>
    </row>
    <row r="188" spans="11:11" x14ac:dyDescent="0.3">
      <c r="K188" s="4" t="str">
        <f t="shared" si="9"/>
        <v/>
      </c>
    </row>
    <row r="189" spans="11:11" x14ac:dyDescent="0.3">
      <c r="K189" s="4" t="str">
        <f t="shared" si="9"/>
        <v/>
      </c>
    </row>
    <row r="190" spans="11:11" x14ac:dyDescent="0.3">
      <c r="K190" s="4" t="str">
        <f t="shared" si="9"/>
        <v/>
      </c>
    </row>
    <row r="191" spans="11:11" x14ac:dyDescent="0.3">
      <c r="K191" s="4" t="str">
        <f t="shared" si="9"/>
        <v/>
      </c>
    </row>
    <row r="192" spans="11:11" x14ac:dyDescent="0.3">
      <c r="K192" s="4" t="str">
        <f t="shared" si="9"/>
        <v/>
      </c>
    </row>
    <row r="193" spans="11:11" x14ac:dyDescent="0.3">
      <c r="K193" s="4" t="str">
        <f t="shared" si="9"/>
        <v/>
      </c>
    </row>
    <row r="194" spans="11:11" x14ac:dyDescent="0.3">
      <c r="K194" s="4" t="str">
        <f t="shared" si="9"/>
        <v/>
      </c>
    </row>
    <row r="195" spans="11:11" x14ac:dyDescent="0.3">
      <c r="K195" s="4" t="str">
        <f t="shared" si="9"/>
        <v/>
      </c>
    </row>
    <row r="196" spans="11:11" x14ac:dyDescent="0.3">
      <c r="K196" s="4" t="str">
        <f t="shared" si="9"/>
        <v/>
      </c>
    </row>
    <row r="197" spans="11:11" x14ac:dyDescent="0.3">
      <c r="K197" s="4" t="str">
        <f t="shared" si="9"/>
        <v/>
      </c>
    </row>
    <row r="198" spans="11:11" x14ac:dyDescent="0.3">
      <c r="K198" s="4" t="str">
        <f t="shared" si="9"/>
        <v/>
      </c>
    </row>
    <row r="199" spans="11:11" x14ac:dyDescent="0.3">
      <c r="K199" s="4" t="str">
        <f t="shared" si="9"/>
        <v/>
      </c>
    </row>
    <row r="200" spans="11:11" x14ac:dyDescent="0.3">
      <c r="K200" s="4" t="str">
        <f t="shared" si="9"/>
        <v/>
      </c>
    </row>
    <row r="201" spans="11:11" x14ac:dyDescent="0.3">
      <c r="K201" s="4" t="str">
        <f t="shared" si="9"/>
        <v/>
      </c>
    </row>
    <row r="202" spans="11:11" x14ac:dyDescent="0.3">
      <c r="K202" s="4" t="str">
        <f t="shared" si="9"/>
        <v/>
      </c>
    </row>
    <row r="203" spans="11:11" x14ac:dyDescent="0.3">
      <c r="K203" s="4" t="str">
        <f t="shared" ref="K203:K209" si="10">IF(MID(C203,1,5) = "N/A","N/A",MID(C203,1,5))</f>
        <v/>
      </c>
    </row>
    <row r="204" spans="11:11" x14ac:dyDescent="0.3">
      <c r="K204" s="4" t="str">
        <f t="shared" si="10"/>
        <v/>
      </c>
    </row>
    <row r="205" spans="11:11" x14ac:dyDescent="0.3">
      <c r="K205" s="4" t="str">
        <f t="shared" si="10"/>
        <v/>
      </c>
    </row>
    <row r="206" spans="11:11" x14ac:dyDescent="0.3">
      <c r="K206" s="4" t="str">
        <f t="shared" si="10"/>
        <v/>
      </c>
    </row>
    <row r="207" spans="11:11" x14ac:dyDescent="0.3">
      <c r="K207" s="4" t="str">
        <f t="shared" si="10"/>
        <v/>
      </c>
    </row>
    <row r="208" spans="11:11" x14ac:dyDescent="0.3">
      <c r="K208" s="4" t="str">
        <f t="shared" si="10"/>
        <v/>
      </c>
    </row>
    <row r="209" spans="11:11" x14ac:dyDescent="0.3">
      <c r="K209" s="4" t="str">
        <f t="shared" si="10"/>
        <v/>
      </c>
    </row>
    <row r="210" spans="11:11" x14ac:dyDescent="0.3">
      <c r="K210" s="4" t="str">
        <f>IF(MID(C210,1,6) = "N/A","N/A",MID(C210,1,6))</f>
        <v/>
      </c>
    </row>
    <row r="211" spans="11:11" x14ac:dyDescent="0.3">
      <c r="K211" s="4" t="str">
        <f>IF(MID(C211,1,6) = "N/A","N/A",MID(C211,1,6))</f>
        <v/>
      </c>
    </row>
    <row r="212" spans="11:11" x14ac:dyDescent="0.3">
      <c r="K212" s="4" t="str">
        <f>IF(MID(C212,1,6) = "N/A","N/A",MID(C212,1,6))</f>
        <v/>
      </c>
    </row>
    <row r="213" spans="11:11" x14ac:dyDescent="0.3">
      <c r="K213" s="4" t="str">
        <f>IF(MID(C213,1,6) = "N/A","N/A",MID(C213,1,6))</f>
        <v/>
      </c>
    </row>
    <row r="214" spans="11:11" x14ac:dyDescent="0.3">
      <c r="K214" s="4" t="str">
        <f>IF(MID(C214,1,6) = "N/A","N/A",MID(C214,1,6))</f>
        <v/>
      </c>
    </row>
    <row r="215" spans="11:11" x14ac:dyDescent="0.3">
      <c r="K215" s="4" t="str">
        <f>IF(MID(C215,1,5) = "N/A","N/A",MID(C215,1,5))</f>
        <v/>
      </c>
    </row>
    <row r="216" spans="11:11" x14ac:dyDescent="0.3">
      <c r="K216" s="4" t="str">
        <f>IF(MID(C216,1,5) = "N/A","N/A",MID(C216,1,5))</f>
        <v/>
      </c>
    </row>
    <row r="217" spans="11:11" x14ac:dyDescent="0.3">
      <c r="K217" s="4" t="str">
        <f>IF(MID(C217,1,6) = "N/A","N/A",MID(C217,1,6))</f>
        <v/>
      </c>
    </row>
    <row r="218" spans="11:11" x14ac:dyDescent="0.3">
      <c r="K218" s="4" t="str">
        <f>IF(MID(C218,1,6) = "N/A","N/A",MID(C218,1,6))</f>
        <v/>
      </c>
    </row>
    <row r="219" spans="11:11" x14ac:dyDescent="0.3">
      <c r="K219" s="4" t="str">
        <f t="shared" ref="K219:K234" si="11">IF(MID(C219,1,5) = "N/A","N/A",MID(C219,1,5))</f>
        <v/>
      </c>
    </row>
    <row r="220" spans="11:11" x14ac:dyDescent="0.3">
      <c r="K220" s="4" t="str">
        <f t="shared" si="11"/>
        <v/>
      </c>
    </row>
    <row r="221" spans="11:11" x14ac:dyDescent="0.3">
      <c r="K221" s="4" t="str">
        <f t="shared" si="11"/>
        <v/>
      </c>
    </row>
    <row r="222" spans="11:11" x14ac:dyDescent="0.3">
      <c r="K222" s="4" t="str">
        <f t="shared" si="11"/>
        <v/>
      </c>
    </row>
    <row r="223" spans="11:11" x14ac:dyDescent="0.3">
      <c r="K223" s="4" t="str">
        <f t="shared" si="11"/>
        <v/>
      </c>
    </row>
    <row r="224" spans="11:11" x14ac:dyDescent="0.3">
      <c r="K224" s="4" t="str">
        <f t="shared" si="11"/>
        <v/>
      </c>
    </row>
    <row r="225" spans="11:11" x14ac:dyDescent="0.3">
      <c r="K225" s="4" t="str">
        <f t="shared" si="11"/>
        <v/>
      </c>
    </row>
    <row r="226" spans="11:11" x14ac:dyDescent="0.3">
      <c r="K226" s="4" t="str">
        <f t="shared" si="11"/>
        <v/>
      </c>
    </row>
    <row r="227" spans="11:11" x14ac:dyDescent="0.3">
      <c r="K227" s="4" t="str">
        <f t="shared" si="11"/>
        <v/>
      </c>
    </row>
    <row r="228" spans="11:11" x14ac:dyDescent="0.3">
      <c r="K228" s="4" t="str">
        <f t="shared" si="11"/>
        <v/>
      </c>
    </row>
    <row r="229" spans="11:11" x14ac:dyDescent="0.3">
      <c r="K229" s="4" t="str">
        <f t="shared" si="11"/>
        <v/>
      </c>
    </row>
    <row r="230" spans="11:11" x14ac:dyDescent="0.3">
      <c r="K230" s="4" t="str">
        <f t="shared" si="11"/>
        <v/>
      </c>
    </row>
    <row r="231" spans="11:11" x14ac:dyDescent="0.3">
      <c r="K231" s="4" t="str">
        <f t="shared" si="11"/>
        <v/>
      </c>
    </row>
    <row r="232" spans="11:11" x14ac:dyDescent="0.3">
      <c r="K232" s="4" t="str">
        <f t="shared" si="11"/>
        <v/>
      </c>
    </row>
    <row r="233" spans="11:11" x14ac:dyDescent="0.3">
      <c r="K233" s="4" t="str">
        <f t="shared" si="11"/>
        <v/>
      </c>
    </row>
    <row r="234" spans="11:11" x14ac:dyDescent="0.3">
      <c r="K234" s="4" t="str">
        <f t="shared" si="11"/>
        <v/>
      </c>
    </row>
    <row r="235" spans="11:11" x14ac:dyDescent="0.3">
      <c r="K235" s="4" t="str">
        <f>IF(MID(C235,1,6) = "N/A","N/A",MID(C235,1,6))</f>
        <v/>
      </c>
    </row>
    <row r="236" spans="11:11" x14ac:dyDescent="0.3">
      <c r="K236" s="4" t="str">
        <f>IF(MID(C236,1,6) = "N/A","N/A",MID(C236,1,6))</f>
        <v/>
      </c>
    </row>
    <row r="237" spans="11:11" x14ac:dyDescent="0.3">
      <c r="K237" s="4" t="str">
        <f>IF(MID(C237,1,6) = "N/A","N/A",MID(C237,1,6))</f>
        <v/>
      </c>
    </row>
    <row r="238" spans="11:11" x14ac:dyDescent="0.3">
      <c r="K238" s="4" t="str">
        <f>IF(MID(C238,1,6) = "N/A","N/A",MID(C238,1,6))</f>
        <v/>
      </c>
    </row>
    <row r="239" spans="11:11" x14ac:dyDescent="0.3">
      <c r="K239" s="4" t="str">
        <f>IF(MID(C239,1,5) = "N/A","N/A",MID(C239,1,5))</f>
        <v/>
      </c>
    </row>
    <row r="240" spans="11:11" x14ac:dyDescent="0.3">
      <c r="K240" s="4" t="str">
        <f t="shared" ref="K240:K247" si="12">IF(MID(C240,1,6) = "N/A","N/A",MID(C240,1,6))</f>
        <v/>
      </c>
    </row>
    <row r="241" spans="11:11" x14ac:dyDescent="0.3">
      <c r="K241" s="4" t="str">
        <f t="shared" si="12"/>
        <v/>
      </c>
    </row>
    <row r="242" spans="11:11" x14ac:dyDescent="0.3">
      <c r="K242" s="4" t="str">
        <f t="shared" si="12"/>
        <v/>
      </c>
    </row>
    <row r="243" spans="11:11" x14ac:dyDescent="0.3">
      <c r="K243" s="4" t="str">
        <f t="shared" si="12"/>
        <v/>
      </c>
    </row>
    <row r="244" spans="11:11" x14ac:dyDescent="0.3">
      <c r="K244" s="4" t="str">
        <f t="shared" si="12"/>
        <v/>
      </c>
    </row>
    <row r="245" spans="11:11" x14ac:dyDescent="0.3">
      <c r="K245" s="4" t="str">
        <f t="shared" si="12"/>
        <v/>
      </c>
    </row>
    <row r="246" spans="11:11" x14ac:dyDescent="0.3">
      <c r="K246" s="4" t="str">
        <f t="shared" si="12"/>
        <v/>
      </c>
    </row>
    <row r="247" spans="11:11" x14ac:dyDescent="0.3">
      <c r="K247" s="4" t="str">
        <f t="shared" si="12"/>
        <v/>
      </c>
    </row>
    <row r="248" spans="11:11" x14ac:dyDescent="0.3">
      <c r="K248" s="4" t="str">
        <f t="shared" ref="K248:K253" si="13">IF(MID(C248,1,5) = "N/A","N/A",MID(C248,1,5))</f>
        <v/>
      </c>
    </row>
    <row r="249" spans="11:11" x14ac:dyDescent="0.3">
      <c r="K249" s="4" t="str">
        <f t="shared" si="13"/>
        <v/>
      </c>
    </row>
    <row r="250" spans="11:11" x14ac:dyDescent="0.3">
      <c r="K250" s="4" t="str">
        <f t="shared" si="13"/>
        <v/>
      </c>
    </row>
    <row r="251" spans="11:11" x14ac:dyDescent="0.3">
      <c r="K251" s="4" t="str">
        <f t="shared" si="13"/>
        <v/>
      </c>
    </row>
    <row r="252" spans="11:11" x14ac:dyDescent="0.3">
      <c r="K252" s="4" t="str">
        <f t="shared" si="13"/>
        <v/>
      </c>
    </row>
    <row r="253" spans="11:11" x14ac:dyDescent="0.3">
      <c r="K253" s="4" t="str">
        <f t="shared" si="13"/>
        <v/>
      </c>
    </row>
    <row r="254" spans="11:11" x14ac:dyDescent="0.3">
      <c r="K254" s="4" t="str">
        <f t="shared" ref="K254:K285" si="14">IF(MID(C254,1,6) = "N/A","N/A",MID(C254,1,6))</f>
        <v/>
      </c>
    </row>
    <row r="255" spans="11:11" x14ac:dyDescent="0.3">
      <c r="K255" s="4" t="str">
        <f t="shared" si="14"/>
        <v/>
      </c>
    </row>
    <row r="256" spans="11:11" x14ac:dyDescent="0.3">
      <c r="K256" s="4" t="str">
        <f t="shared" si="14"/>
        <v/>
      </c>
    </row>
    <row r="257" spans="11:11" x14ac:dyDescent="0.3">
      <c r="K257" s="4" t="str">
        <f t="shared" si="14"/>
        <v/>
      </c>
    </row>
    <row r="258" spans="11:11" x14ac:dyDescent="0.3">
      <c r="K258" s="4" t="str">
        <f t="shared" si="14"/>
        <v/>
      </c>
    </row>
    <row r="259" spans="11:11" x14ac:dyDescent="0.3">
      <c r="K259" s="4" t="str">
        <f t="shared" si="14"/>
        <v/>
      </c>
    </row>
    <row r="260" spans="11:11" x14ac:dyDescent="0.3">
      <c r="K260" s="4" t="str">
        <f t="shared" si="14"/>
        <v/>
      </c>
    </row>
    <row r="261" spans="11:11" x14ac:dyDescent="0.3">
      <c r="K261" s="4" t="str">
        <f t="shared" si="14"/>
        <v/>
      </c>
    </row>
    <row r="262" spans="11:11" x14ac:dyDescent="0.3">
      <c r="K262" s="4" t="str">
        <f t="shared" si="14"/>
        <v/>
      </c>
    </row>
    <row r="263" spans="11:11" x14ac:dyDescent="0.3">
      <c r="K263" s="4" t="str">
        <f t="shared" si="14"/>
        <v/>
      </c>
    </row>
    <row r="264" spans="11:11" x14ac:dyDescent="0.3">
      <c r="K264" s="4" t="str">
        <f t="shared" si="14"/>
        <v/>
      </c>
    </row>
    <row r="265" spans="11:11" x14ac:dyDescent="0.3">
      <c r="K265" s="4" t="str">
        <f t="shared" si="14"/>
        <v/>
      </c>
    </row>
    <row r="266" spans="11:11" x14ac:dyDescent="0.3">
      <c r="K266" s="4" t="str">
        <f t="shared" si="14"/>
        <v/>
      </c>
    </row>
    <row r="267" spans="11:11" x14ac:dyDescent="0.3">
      <c r="K267" s="4" t="str">
        <f t="shared" si="14"/>
        <v/>
      </c>
    </row>
    <row r="268" spans="11:11" x14ac:dyDescent="0.3">
      <c r="K268" s="4" t="str">
        <f t="shared" si="14"/>
        <v/>
      </c>
    </row>
    <row r="269" spans="11:11" x14ac:dyDescent="0.3">
      <c r="K269" s="4" t="str">
        <f t="shared" si="14"/>
        <v/>
      </c>
    </row>
    <row r="270" spans="11:11" x14ac:dyDescent="0.3">
      <c r="K270" s="4" t="str">
        <f t="shared" si="14"/>
        <v/>
      </c>
    </row>
    <row r="271" spans="11:11" x14ac:dyDescent="0.3">
      <c r="K271" s="4" t="str">
        <f t="shared" si="14"/>
        <v/>
      </c>
    </row>
    <row r="272" spans="11:11" x14ac:dyDescent="0.3">
      <c r="K272" s="4" t="str">
        <f t="shared" si="14"/>
        <v/>
      </c>
    </row>
    <row r="273" spans="11:11" x14ac:dyDescent="0.3">
      <c r="K273" s="4" t="str">
        <f t="shared" si="14"/>
        <v/>
      </c>
    </row>
    <row r="274" spans="11:11" x14ac:dyDescent="0.3">
      <c r="K274" s="4" t="str">
        <f t="shared" si="14"/>
        <v/>
      </c>
    </row>
    <row r="275" spans="11:11" x14ac:dyDescent="0.3">
      <c r="K275" s="4" t="str">
        <f t="shared" si="14"/>
        <v/>
      </c>
    </row>
    <row r="276" spans="11:11" x14ac:dyDescent="0.3">
      <c r="K276" s="4" t="str">
        <f t="shared" si="14"/>
        <v/>
      </c>
    </row>
    <row r="277" spans="11:11" x14ac:dyDescent="0.3">
      <c r="K277" s="4" t="str">
        <f t="shared" si="14"/>
        <v/>
      </c>
    </row>
    <row r="278" spans="11:11" x14ac:dyDescent="0.3">
      <c r="K278" s="4" t="str">
        <f t="shared" si="14"/>
        <v/>
      </c>
    </row>
    <row r="279" spans="11:11" x14ac:dyDescent="0.3">
      <c r="K279" s="4" t="str">
        <f t="shared" si="14"/>
        <v/>
      </c>
    </row>
    <row r="280" spans="11:11" x14ac:dyDescent="0.3">
      <c r="K280" s="4" t="str">
        <f t="shared" si="14"/>
        <v/>
      </c>
    </row>
    <row r="281" spans="11:11" x14ac:dyDescent="0.3">
      <c r="K281" s="4" t="str">
        <f t="shared" si="14"/>
        <v/>
      </c>
    </row>
    <row r="282" spans="11:11" x14ac:dyDescent="0.3">
      <c r="K282" s="4" t="str">
        <f t="shared" si="14"/>
        <v/>
      </c>
    </row>
    <row r="283" spans="11:11" x14ac:dyDescent="0.3">
      <c r="K283" s="4" t="str">
        <f t="shared" si="14"/>
        <v/>
      </c>
    </row>
    <row r="284" spans="11:11" x14ac:dyDescent="0.3">
      <c r="K284" s="4" t="str">
        <f t="shared" si="14"/>
        <v/>
      </c>
    </row>
    <row r="285" spans="11:11" x14ac:dyDescent="0.3">
      <c r="K285" s="4" t="str">
        <f t="shared" si="14"/>
        <v/>
      </c>
    </row>
    <row r="286" spans="11:11" x14ac:dyDescent="0.3">
      <c r="K286" s="4" t="str">
        <f>IF(MID(C286,1,5) = "N/A","N/A",MID(C286,1,5))</f>
        <v/>
      </c>
    </row>
    <row r="287" spans="11:11" x14ac:dyDescent="0.3">
      <c r="K287" s="4" t="str">
        <f>IF(MID(C287,1,5) = "N/A","N/A",MID(C287,1,5))</f>
        <v/>
      </c>
    </row>
    <row r="288" spans="11:11" x14ac:dyDescent="0.3">
      <c r="K288" s="4" t="str">
        <f>IF(MID(C288,1,5) = "N/A","N/A",MID(C288,1,5))</f>
        <v/>
      </c>
    </row>
    <row r="289" spans="11:11" x14ac:dyDescent="0.3">
      <c r="K289" s="4" t="str">
        <f>IF(MID(C289,1,5) = "N/A","N/A",MID(C289,1,5))</f>
        <v/>
      </c>
    </row>
    <row r="290" spans="11:11" x14ac:dyDescent="0.3">
      <c r="K290" s="4" t="str">
        <f>IF(MID(C290,1,5) = "N/A","N/A",MID(C290,1,5))</f>
        <v/>
      </c>
    </row>
    <row r="291" spans="11:11" x14ac:dyDescent="0.3">
      <c r="K291" s="4" t="str">
        <f t="shared" ref="K291:K296" si="15">IF(MID(C291,1,6) = "N/A","N/A",MID(C291,1,6))</f>
        <v/>
      </c>
    </row>
    <row r="292" spans="11:11" x14ac:dyDescent="0.3">
      <c r="K292" s="4" t="str">
        <f t="shared" si="15"/>
        <v/>
      </c>
    </row>
    <row r="293" spans="11:11" x14ac:dyDescent="0.3">
      <c r="K293" s="4" t="str">
        <f t="shared" si="15"/>
        <v/>
      </c>
    </row>
    <row r="294" spans="11:11" x14ac:dyDescent="0.3">
      <c r="K294" s="4" t="str">
        <f t="shared" si="15"/>
        <v/>
      </c>
    </row>
    <row r="295" spans="11:11" x14ac:dyDescent="0.3">
      <c r="K295" s="4" t="str">
        <f t="shared" si="15"/>
        <v/>
      </c>
    </row>
    <row r="296" spans="11:11" x14ac:dyDescent="0.3">
      <c r="K296" s="4" t="str">
        <f t="shared" si="15"/>
        <v/>
      </c>
    </row>
    <row r="297" spans="11:11" x14ac:dyDescent="0.3">
      <c r="K297" s="4" t="str">
        <f>IF(MID(C297,1,5) = "N/A","N/A",MID(C297,1,5))</f>
        <v/>
      </c>
    </row>
    <row r="298" spans="11:11" x14ac:dyDescent="0.3">
      <c r="K298" s="4" t="str">
        <f>IF(MID(C298,1,6) = "N/A","N/A",MID(C298,1,6))</f>
        <v/>
      </c>
    </row>
    <row r="299" spans="11:11" x14ac:dyDescent="0.3">
      <c r="K299" s="4" t="str">
        <f>IF(MID(C299,1,6) = "N/A","N/A",MID(C299,1,6))</f>
        <v/>
      </c>
    </row>
    <row r="300" spans="11:11" x14ac:dyDescent="0.3">
      <c r="K300" s="4" t="str">
        <f>IF(MID(C300,1,6) = "N/A","N/A",MID(C300,1,6))</f>
        <v/>
      </c>
    </row>
    <row r="301" spans="11:11" x14ac:dyDescent="0.3">
      <c r="K301" s="4" t="str">
        <f>IF(MID(C301,1,5) = "N/A","N/A",MID(C301,1,5))</f>
        <v/>
      </c>
    </row>
    <row r="302" spans="11:11" x14ac:dyDescent="0.3">
      <c r="K302" s="4" t="str">
        <f>IF(MID(C302,1,5) = "N/A","N/A",MID(C302,1,5))</f>
        <v/>
      </c>
    </row>
    <row r="303" spans="11:11" x14ac:dyDescent="0.3">
      <c r="K303" s="4" t="str">
        <f>IF(MID(C303,1,5) = "N/A","N/A",MID(C303,1,5))</f>
        <v/>
      </c>
    </row>
    <row r="304" spans="11:11" x14ac:dyDescent="0.3">
      <c r="K304" s="4" t="str">
        <f>IF(MID(C304,1,5) = "N/A","N/A",MID(C304,1,5))</f>
        <v/>
      </c>
    </row>
    <row r="305" spans="11:11" x14ac:dyDescent="0.3">
      <c r="K305" s="4" t="str">
        <f t="shared" ref="K305:K314" si="16">IF(MID(C305,1,6) = "N/A","N/A",MID(C305,1,6))</f>
        <v/>
      </c>
    </row>
    <row r="306" spans="11:11" x14ac:dyDescent="0.3">
      <c r="K306" s="4" t="str">
        <f t="shared" si="16"/>
        <v/>
      </c>
    </row>
    <row r="307" spans="11:11" x14ac:dyDescent="0.3">
      <c r="K307" s="4" t="str">
        <f t="shared" si="16"/>
        <v/>
      </c>
    </row>
    <row r="308" spans="11:11" x14ac:dyDescent="0.3">
      <c r="K308" s="4" t="str">
        <f t="shared" si="16"/>
        <v/>
      </c>
    </row>
    <row r="309" spans="11:11" x14ac:dyDescent="0.3">
      <c r="K309" s="4" t="str">
        <f t="shared" si="16"/>
        <v/>
      </c>
    </row>
    <row r="310" spans="11:11" x14ac:dyDescent="0.3">
      <c r="K310" s="4" t="str">
        <f t="shared" si="16"/>
        <v/>
      </c>
    </row>
    <row r="311" spans="11:11" x14ac:dyDescent="0.3">
      <c r="K311" s="4" t="str">
        <f t="shared" si="16"/>
        <v/>
      </c>
    </row>
    <row r="312" spans="11:11" x14ac:dyDescent="0.3">
      <c r="K312" s="4" t="str">
        <f t="shared" si="16"/>
        <v/>
      </c>
    </row>
    <row r="313" spans="11:11" x14ac:dyDescent="0.3">
      <c r="K313" s="4" t="str">
        <f t="shared" si="16"/>
        <v/>
      </c>
    </row>
    <row r="314" spans="11:11" x14ac:dyDescent="0.3">
      <c r="K314" s="4" t="str">
        <f t="shared" si="16"/>
        <v/>
      </c>
    </row>
    <row r="315" spans="11:11" x14ac:dyDescent="0.3">
      <c r="K315" s="4" t="str">
        <f>IF(MID(C315,1,5) = "N/A","N/A",MID(C315,1,5))</f>
        <v/>
      </c>
    </row>
    <row r="316" spans="11:11" x14ac:dyDescent="0.3">
      <c r="K316" s="4" t="str">
        <f>IF(MID(C316,1,5) = "N/A","N/A",MID(C316,1,5))</f>
        <v/>
      </c>
    </row>
    <row r="317" spans="11:11" x14ac:dyDescent="0.3">
      <c r="K317" s="4" t="str">
        <f>IF(MID(C317,1,5) = "N/A","N/A",MID(C317,1,5))</f>
        <v/>
      </c>
    </row>
    <row r="318" spans="11:11" x14ac:dyDescent="0.3">
      <c r="K318" s="4" t="str">
        <f t="shared" ref="K318:K323" si="17">IF(MID(C318,1,6) = "N/A","N/A",MID(C318,1,6))</f>
        <v/>
      </c>
    </row>
    <row r="319" spans="11:11" x14ac:dyDescent="0.3">
      <c r="K319" s="4" t="str">
        <f t="shared" si="17"/>
        <v/>
      </c>
    </row>
    <row r="320" spans="11:11" x14ac:dyDescent="0.3">
      <c r="K320" s="4" t="str">
        <f t="shared" si="17"/>
        <v/>
      </c>
    </row>
    <row r="321" spans="11:11" x14ac:dyDescent="0.3">
      <c r="K321" s="4" t="str">
        <f t="shared" si="17"/>
        <v/>
      </c>
    </row>
    <row r="322" spans="11:11" x14ac:dyDescent="0.3">
      <c r="K322" s="4" t="str">
        <f t="shared" si="17"/>
        <v/>
      </c>
    </row>
    <row r="323" spans="11:11" x14ac:dyDescent="0.3">
      <c r="K323" s="4" t="str">
        <f t="shared" si="17"/>
        <v/>
      </c>
    </row>
    <row r="324" spans="11:11" x14ac:dyDescent="0.3">
      <c r="K324" s="4" t="str">
        <f>IF(MID(C324,1,5) = "N/A","N/A",MID(C324,1,5))</f>
        <v/>
      </c>
    </row>
    <row r="325" spans="11:11" x14ac:dyDescent="0.3">
      <c r="K325" s="4" t="str">
        <f>IF(MID(C325,1,5) = "N/A","N/A",MID(C325,1,5))</f>
        <v/>
      </c>
    </row>
    <row r="326" spans="11:11" x14ac:dyDescent="0.3">
      <c r="K326" s="4" t="str">
        <f t="shared" ref="K326:K334" si="18">IF(MID(C326,1,6) = "N/A","N/A",MID(C326,1,6))</f>
        <v/>
      </c>
    </row>
    <row r="327" spans="11:11" x14ac:dyDescent="0.3">
      <c r="K327" s="4" t="str">
        <f t="shared" si="18"/>
        <v/>
      </c>
    </row>
    <row r="328" spans="11:11" x14ac:dyDescent="0.3">
      <c r="K328" s="4" t="str">
        <f t="shared" si="18"/>
        <v/>
      </c>
    </row>
    <row r="329" spans="11:11" x14ac:dyDescent="0.3">
      <c r="K329" s="4" t="str">
        <f t="shared" si="18"/>
        <v/>
      </c>
    </row>
    <row r="330" spans="11:11" x14ac:dyDescent="0.3">
      <c r="K330" s="4" t="str">
        <f t="shared" si="18"/>
        <v/>
      </c>
    </row>
    <row r="331" spans="11:11" x14ac:dyDescent="0.3">
      <c r="K331" s="4" t="str">
        <f t="shared" si="18"/>
        <v/>
      </c>
    </row>
    <row r="332" spans="11:11" x14ac:dyDescent="0.3">
      <c r="K332" s="4" t="str">
        <f t="shared" si="18"/>
        <v/>
      </c>
    </row>
    <row r="333" spans="11:11" x14ac:dyDescent="0.3">
      <c r="K333" s="4" t="str">
        <f t="shared" si="18"/>
        <v/>
      </c>
    </row>
    <row r="334" spans="11:11" x14ac:dyDescent="0.3">
      <c r="K334" s="4" t="str">
        <f t="shared" si="18"/>
        <v/>
      </c>
    </row>
    <row r="335" spans="11:11" x14ac:dyDescent="0.3">
      <c r="K335" s="4" t="str">
        <f t="shared" ref="K335:K346" si="19">IF(MID(C335,1,5) = "N/A","N/A",MID(C335,1,5))</f>
        <v/>
      </c>
    </row>
    <row r="336" spans="11:11" x14ac:dyDescent="0.3">
      <c r="K336" s="4" t="str">
        <f t="shared" si="19"/>
        <v/>
      </c>
    </row>
    <row r="337" spans="11:11" x14ac:dyDescent="0.3">
      <c r="K337" s="4" t="str">
        <f t="shared" si="19"/>
        <v/>
      </c>
    </row>
    <row r="338" spans="11:11" x14ac:dyDescent="0.3">
      <c r="K338" s="4" t="str">
        <f t="shared" si="19"/>
        <v/>
      </c>
    </row>
    <row r="339" spans="11:11" x14ac:dyDescent="0.3">
      <c r="K339" s="4" t="str">
        <f t="shared" si="19"/>
        <v/>
      </c>
    </row>
    <row r="340" spans="11:11" x14ac:dyDescent="0.3">
      <c r="K340" s="4" t="str">
        <f t="shared" si="19"/>
        <v/>
      </c>
    </row>
    <row r="341" spans="11:11" x14ac:dyDescent="0.3">
      <c r="K341" s="4" t="str">
        <f t="shared" si="19"/>
        <v/>
      </c>
    </row>
    <row r="342" spans="11:11" x14ac:dyDescent="0.3">
      <c r="K342" s="4" t="str">
        <f t="shared" si="19"/>
        <v/>
      </c>
    </row>
    <row r="343" spans="11:11" x14ac:dyDescent="0.3">
      <c r="K343" s="4" t="str">
        <f t="shared" si="19"/>
        <v/>
      </c>
    </row>
    <row r="344" spans="11:11" x14ac:dyDescent="0.3">
      <c r="K344" s="4" t="str">
        <f t="shared" si="19"/>
        <v/>
      </c>
    </row>
    <row r="345" spans="11:11" x14ac:dyDescent="0.3">
      <c r="K345" s="4" t="str">
        <f t="shared" si="19"/>
        <v/>
      </c>
    </row>
    <row r="346" spans="11:11" x14ac:dyDescent="0.3">
      <c r="K346" s="4" t="str">
        <f t="shared" si="19"/>
        <v/>
      </c>
    </row>
    <row r="347" spans="11:11" x14ac:dyDescent="0.3">
      <c r="K347" s="4" t="str">
        <f>IF(MID(C347,1,6) = "N/A","N/A",MID(C347,1,6))</f>
        <v/>
      </c>
    </row>
    <row r="348" spans="11:11" x14ac:dyDescent="0.3">
      <c r="K348" s="4" t="str">
        <f>IF(MID(C348,1,6) = "N/A","N/A",MID(C348,1,6))</f>
        <v/>
      </c>
    </row>
    <row r="349" spans="11:11" x14ac:dyDescent="0.3">
      <c r="K349" s="4" t="str">
        <f t="shared" ref="K349:K355" si="20">IF(MID(C349,1,5) = "N/A","N/A",MID(C349,1,5))</f>
        <v/>
      </c>
    </row>
    <row r="350" spans="11:11" x14ac:dyDescent="0.3">
      <c r="K350" s="4" t="str">
        <f t="shared" si="20"/>
        <v/>
      </c>
    </row>
    <row r="351" spans="11:11" x14ac:dyDescent="0.3">
      <c r="K351" s="4" t="str">
        <f t="shared" si="20"/>
        <v/>
      </c>
    </row>
    <row r="352" spans="11:11" x14ac:dyDescent="0.3">
      <c r="K352" s="4" t="str">
        <f t="shared" si="20"/>
        <v/>
      </c>
    </row>
    <row r="353" spans="11:11" x14ac:dyDescent="0.3">
      <c r="K353" s="4" t="str">
        <f t="shared" si="20"/>
        <v/>
      </c>
    </row>
    <row r="354" spans="11:11" x14ac:dyDescent="0.3">
      <c r="K354" s="4" t="str">
        <f t="shared" si="20"/>
        <v/>
      </c>
    </row>
    <row r="355" spans="11:11" x14ac:dyDescent="0.3">
      <c r="K355" s="4" t="str">
        <f t="shared" si="20"/>
        <v/>
      </c>
    </row>
    <row r="356" spans="11:11" x14ac:dyDescent="0.3">
      <c r="K356" s="4" t="str">
        <f>IF(MID(C356,1,6) = "N/A","N/A",MID(C356,1,6))</f>
        <v/>
      </c>
    </row>
    <row r="357" spans="11:11" x14ac:dyDescent="0.3">
      <c r="K357" s="4" t="str">
        <f>IF(MID(C357,1,6) = "N/A","N/A",MID(C357,1,6))</f>
        <v/>
      </c>
    </row>
    <row r="358" spans="11:11" x14ac:dyDescent="0.3">
      <c r="K358" s="4" t="str">
        <f>IF(MID(C358,1,6) = "N/A","N/A",MID(C358,1,6))</f>
        <v/>
      </c>
    </row>
    <row r="359" spans="11:11" x14ac:dyDescent="0.3">
      <c r="K359" s="4" t="str">
        <f>IF(MID(C359,1,5) = "N/A","N/A",MID(C359,1,5))</f>
        <v/>
      </c>
    </row>
    <row r="360" spans="11:11" x14ac:dyDescent="0.3">
      <c r="K360" s="4" t="str">
        <f t="shared" ref="K360:K402" si="21">IF(MID(C360,1,6) = "N/A","N/A",MID(C360,1,6))</f>
        <v/>
      </c>
    </row>
    <row r="361" spans="11:11" x14ac:dyDescent="0.3">
      <c r="K361" s="4" t="str">
        <f t="shared" si="21"/>
        <v/>
      </c>
    </row>
    <row r="362" spans="11:11" x14ac:dyDescent="0.3">
      <c r="K362" s="4" t="str">
        <f t="shared" si="21"/>
        <v/>
      </c>
    </row>
    <row r="363" spans="11:11" x14ac:dyDescent="0.3">
      <c r="K363" s="4" t="str">
        <f t="shared" si="21"/>
        <v/>
      </c>
    </row>
    <row r="364" spans="11:11" x14ac:dyDescent="0.3">
      <c r="K364" s="4" t="str">
        <f t="shared" si="21"/>
        <v/>
      </c>
    </row>
    <row r="365" spans="11:11" x14ac:dyDescent="0.3">
      <c r="K365" s="4" t="str">
        <f t="shared" si="21"/>
        <v/>
      </c>
    </row>
    <row r="366" spans="11:11" x14ac:dyDescent="0.3">
      <c r="K366" s="4" t="str">
        <f t="shared" si="21"/>
        <v/>
      </c>
    </row>
    <row r="367" spans="11:11" x14ac:dyDescent="0.3">
      <c r="K367" s="4" t="str">
        <f t="shared" si="21"/>
        <v/>
      </c>
    </row>
    <row r="368" spans="11:11" x14ac:dyDescent="0.3">
      <c r="K368" s="4" t="str">
        <f t="shared" si="21"/>
        <v/>
      </c>
    </row>
    <row r="369" spans="11:11" x14ac:dyDescent="0.3">
      <c r="K369" s="4" t="str">
        <f t="shared" si="21"/>
        <v/>
      </c>
    </row>
    <row r="370" spans="11:11" x14ac:dyDescent="0.3">
      <c r="K370" s="4" t="str">
        <f t="shared" si="21"/>
        <v/>
      </c>
    </row>
    <row r="371" spans="11:11" x14ac:dyDescent="0.3">
      <c r="K371" s="4" t="str">
        <f t="shared" si="21"/>
        <v/>
      </c>
    </row>
    <row r="372" spans="11:11" x14ac:dyDescent="0.3">
      <c r="K372" s="4" t="str">
        <f t="shared" si="21"/>
        <v/>
      </c>
    </row>
    <row r="373" spans="11:11" x14ac:dyDescent="0.3">
      <c r="K373" s="4" t="str">
        <f t="shared" si="21"/>
        <v/>
      </c>
    </row>
    <row r="374" spans="11:11" x14ac:dyDescent="0.3">
      <c r="K374" s="4" t="str">
        <f t="shared" si="21"/>
        <v/>
      </c>
    </row>
    <row r="375" spans="11:11" x14ac:dyDescent="0.3">
      <c r="K375" s="4" t="str">
        <f t="shared" si="21"/>
        <v/>
      </c>
    </row>
    <row r="376" spans="11:11" x14ac:dyDescent="0.3">
      <c r="K376" s="4" t="str">
        <f t="shared" si="21"/>
        <v/>
      </c>
    </row>
    <row r="377" spans="11:11" x14ac:dyDescent="0.3">
      <c r="K377" s="4" t="str">
        <f t="shared" si="21"/>
        <v/>
      </c>
    </row>
    <row r="378" spans="11:11" x14ac:dyDescent="0.3">
      <c r="K378" s="4" t="str">
        <f t="shared" si="21"/>
        <v/>
      </c>
    </row>
    <row r="379" spans="11:11" x14ac:dyDescent="0.3">
      <c r="K379" s="4" t="str">
        <f t="shared" si="21"/>
        <v/>
      </c>
    </row>
    <row r="380" spans="11:11" x14ac:dyDescent="0.3">
      <c r="K380" s="4" t="str">
        <f t="shared" si="21"/>
        <v/>
      </c>
    </row>
    <row r="381" spans="11:11" x14ac:dyDescent="0.3">
      <c r="K381" s="4" t="str">
        <f t="shared" si="21"/>
        <v/>
      </c>
    </row>
    <row r="382" spans="11:11" x14ac:dyDescent="0.3">
      <c r="K382" s="4" t="str">
        <f t="shared" si="21"/>
        <v/>
      </c>
    </row>
    <row r="383" spans="11:11" x14ac:dyDescent="0.3">
      <c r="K383" s="4" t="str">
        <f t="shared" si="21"/>
        <v/>
      </c>
    </row>
    <row r="384" spans="11:11" x14ac:dyDescent="0.3">
      <c r="K384" s="4" t="str">
        <f t="shared" si="21"/>
        <v/>
      </c>
    </row>
    <row r="385" spans="11:11" x14ac:dyDescent="0.3">
      <c r="K385" s="4" t="str">
        <f t="shared" si="21"/>
        <v/>
      </c>
    </row>
    <row r="386" spans="11:11" x14ac:dyDescent="0.3">
      <c r="K386" s="4" t="str">
        <f t="shared" si="21"/>
        <v/>
      </c>
    </row>
    <row r="387" spans="11:11" x14ac:dyDescent="0.3">
      <c r="K387" s="4" t="str">
        <f t="shared" si="21"/>
        <v/>
      </c>
    </row>
    <row r="388" spans="11:11" x14ac:dyDescent="0.3">
      <c r="K388" s="4" t="str">
        <f t="shared" si="21"/>
        <v/>
      </c>
    </row>
    <row r="389" spans="11:11" x14ac:dyDescent="0.3">
      <c r="K389" s="4" t="str">
        <f t="shared" si="21"/>
        <v/>
      </c>
    </row>
    <row r="390" spans="11:11" x14ac:dyDescent="0.3">
      <c r="K390" s="4" t="str">
        <f t="shared" si="21"/>
        <v/>
      </c>
    </row>
    <row r="391" spans="11:11" x14ac:dyDescent="0.3">
      <c r="K391" s="4" t="str">
        <f t="shared" si="21"/>
        <v/>
      </c>
    </row>
    <row r="392" spans="11:11" x14ac:dyDescent="0.3">
      <c r="K392" s="4" t="str">
        <f t="shared" si="21"/>
        <v/>
      </c>
    </row>
    <row r="393" spans="11:11" x14ac:dyDescent="0.3">
      <c r="K393" s="4" t="str">
        <f t="shared" si="21"/>
        <v/>
      </c>
    </row>
    <row r="394" spans="11:11" x14ac:dyDescent="0.3">
      <c r="K394" s="4" t="str">
        <f t="shared" si="21"/>
        <v/>
      </c>
    </row>
    <row r="395" spans="11:11" x14ac:dyDescent="0.3">
      <c r="K395" s="4" t="str">
        <f t="shared" si="21"/>
        <v/>
      </c>
    </row>
    <row r="396" spans="11:11" x14ac:dyDescent="0.3">
      <c r="K396" s="4" t="str">
        <f t="shared" si="21"/>
        <v/>
      </c>
    </row>
    <row r="397" spans="11:11" x14ac:dyDescent="0.3">
      <c r="K397" s="4" t="str">
        <f t="shared" si="21"/>
        <v/>
      </c>
    </row>
    <row r="398" spans="11:11" x14ac:dyDescent="0.3">
      <c r="K398" s="4" t="str">
        <f t="shared" si="21"/>
        <v/>
      </c>
    </row>
    <row r="399" spans="11:11" x14ac:dyDescent="0.3">
      <c r="K399" s="4" t="str">
        <f t="shared" si="21"/>
        <v/>
      </c>
    </row>
    <row r="400" spans="11:11" x14ac:dyDescent="0.3">
      <c r="K400" s="4" t="str">
        <f t="shared" si="21"/>
        <v/>
      </c>
    </row>
    <row r="401" spans="11:11" x14ac:dyDescent="0.3">
      <c r="K401" s="4" t="str">
        <f t="shared" si="21"/>
        <v/>
      </c>
    </row>
    <row r="402" spans="11:11" x14ac:dyDescent="0.3">
      <c r="K402" s="4" t="str">
        <f t="shared" si="21"/>
        <v/>
      </c>
    </row>
    <row r="403" spans="11:11" x14ac:dyDescent="0.3">
      <c r="K403" s="4" t="str">
        <f t="shared" ref="K403:K424" si="22">IF(MID(C403,1,5) = "N/A","N/A",MID(C403,1,5))</f>
        <v/>
      </c>
    </row>
    <row r="404" spans="11:11" x14ac:dyDescent="0.3">
      <c r="K404" s="4" t="str">
        <f t="shared" si="22"/>
        <v/>
      </c>
    </row>
    <row r="405" spans="11:11" x14ac:dyDescent="0.3">
      <c r="K405" s="4" t="str">
        <f t="shared" si="22"/>
        <v/>
      </c>
    </row>
    <row r="406" spans="11:11" x14ac:dyDescent="0.3">
      <c r="K406" s="4" t="str">
        <f t="shared" si="22"/>
        <v/>
      </c>
    </row>
    <row r="407" spans="11:11" x14ac:dyDescent="0.3">
      <c r="K407" s="4" t="str">
        <f t="shared" si="22"/>
        <v/>
      </c>
    </row>
    <row r="408" spans="11:11" x14ac:dyDescent="0.3">
      <c r="K408" s="4" t="str">
        <f t="shared" si="22"/>
        <v/>
      </c>
    </row>
    <row r="409" spans="11:11" x14ac:dyDescent="0.3">
      <c r="K409" s="4" t="str">
        <f t="shared" si="22"/>
        <v/>
      </c>
    </row>
    <row r="410" spans="11:11" x14ac:dyDescent="0.3">
      <c r="K410" s="4" t="str">
        <f t="shared" si="22"/>
        <v/>
      </c>
    </row>
    <row r="411" spans="11:11" x14ac:dyDescent="0.3">
      <c r="K411" s="4" t="str">
        <f t="shared" si="22"/>
        <v/>
      </c>
    </row>
    <row r="412" spans="11:11" x14ac:dyDescent="0.3">
      <c r="K412" s="4" t="str">
        <f t="shared" si="22"/>
        <v/>
      </c>
    </row>
    <row r="413" spans="11:11" x14ac:dyDescent="0.3">
      <c r="K413" s="4" t="str">
        <f t="shared" si="22"/>
        <v/>
      </c>
    </row>
    <row r="414" spans="11:11" x14ac:dyDescent="0.3">
      <c r="K414" s="4" t="str">
        <f t="shared" si="22"/>
        <v/>
      </c>
    </row>
    <row r="415" spans="11:11" x14ac:dyDescent="0.3">
      <c r="K415" s="4" t="str">
        <f t="shared" si="22"/>
        <v/>
      </c>
    </row>
    <row r="416" spans="11:11" x14ac:dyDescent="0.3">
      <c r="K416" s="4" t="str">
        <f t="shared" si="22"/>
        <v/>
      </c>
    </row>
    <row r="417" spans="11:11" x14ac:dyDescent="0.3">
      <c r="K417" s="4" t="str">
        <f t="shared" si="22"/>
        <v/>
      </c>
    </row>
    <row r="418" spans="11:11" x14ac:dyDescent="0.3">
      <c r="K418" s="4" t="str">
        <f t="shared" si="22"/>
        <v/>
      </c>
    </row>
    <row r="419" spans="11:11" x14ac:dyDescent="0.3">
      <c r="K419" s="4" t="str">
        <f t="shared" si="22"/>
        <v/>
      </c>
    </row>
    <row r="420" spans="11:11" x14ac:dyDescent="0.3">
      <c r="K420" s="4" t="str">
        <f t="shared" si="22"/>
        <v/>
      </c>
    </row>
    <row r="421" spans="11:11" x14ac:dyDescent="0.3">
      <c r="K421" s="4" t="str">
        <f t="shared" si="22"/>
        <v/>
      </c>
    </row>
    <row r="422" spans="11:11" x14ac:dyDescent="0.3">
      <c r="K422" s="4" t="str">
        <f t="shared" si="22"/>
        <v/>
      </c>
    </row>
    <row r="423" spans="11:11" x14ac:dyDescent="0.3">
      <c r="K423" s="4" t="str">
        <f t="shared" si="22"/>
        <v/>
      </c>
    </row>
    <row r="424" spans="11:11" x14ac:dyDescent="0.3">
      <c r="K424" s="4" t="str">
        <f t="shared" si="22"/>
        <v/>
      </c>
    </row>
    <row r="425" spans="11:11" x14ac:dyDescent="0.3">
      <c r="K425" s="4" t="str">
        <f t="shared" ref="K425:K454" si="23">IF(MID(C425,1,6) = "N/A","N/A",MID(C425,1,6))</f>
        <v/>
      </c>
    </row>
    <row r="426" spans="11:11" x14ac:dyDescent="0.3">
      <c r="K426" s="4" t="str">
        <f t="shared" si="23"/>
        <v/>
      </c>
    </row>
    <row r="427" spans="11:11" x14ac:dyDescent="0.3">
      <c r="K427" s="4" t="str">
        <f t="shared" si="23"/>
        <v/>
      </c>
    </row>
    <row r="428" spans="11:11" x14ac:dyDescent="0.3">
      <c r="K428" s="4" t="str">
        <f t="shared" si="23"/>
        <v/>
      </c>
    </row>
    <row r="429" spans="11:11" x14ac:dyDescent="0.3">
      <c r="K429" s="4" t="str">
        <f t="shared" si="23"/>
        <v/>
      </c>
    </row>
    <row r="430" spans="11:11" x14ac:dyDescent="0.3">
      <c r="K430" s="4" t="str">
        <f t="shared" si="23"/>
        <v/>
      </c>
    </row>
    <row r="431" spans="11:11" x14ac:dyDescent="0.3">
      <c r="K431" s="4" t="str">
        <f t="shared" si="23"/>
        <v/>
      </c>
    </row>
    <row r="432" spans="11:11" x14ac:dyDescent="0.3">
      <c r="K432" s="4" t="str">
        <f t="shared" si="23"/>
        <v/>
      </c>
    </row>
    <row r="433" spans="11:11" x14ac:dyDescent="0.3">
      <c r="K433" s="4" t="str">
        <f t="shared" si="23"/>
        <v/>
      </c>
    </row>
    <row r="434" spans="11:11" x14ac:dyDescent="0.3">
      <c r="K434" s="4" t="str">
        <f t="shared" si="23"/>
        <v/>
      </c>
    </row>
    <row r="435" spans="11:11" x14ac:dyDescent="0.3">
      <c r="K435" s="4" t="str">
        <f t="shared" si="23"/>
        <v/>
      </c>
    </row>
    <row r="436" spans="11:11" x14ac:dyDescent="0.3">
      <c r="K436" s="4" t="str">
        <f t="shared" si="23"/>
        <v/>
      </c>
    </row>
    <row r="437" spans="11:11" x14ac:dyDescent="0.3">
      <c r="K437" s="4" t="str">
        <f t="shared" si="23"/>
        <v/>
      </c>
    </row>
    <row r="438" spans="11:11" x14ac:dyDescent="0.3">
      <c r="K438" s="4" t="str">
        <f t="shared" si="23"/>
        <v/>
      </c>
    </row>
    <row r="439" spans="11:11" x14ac:dyDescent="0.3">
      <c r="K439" s="4" t="str">
        <f t="shared" si="23"/>
        <v/>
      </c>
    </row>
    <row r="440" spans="11:11" x14ac:dyDescent="0.3">
      <c r="K440" s="4" t="str">
        <f t="shared" si="23"/>
        <v/>
      </c>
    </row>
    <row r="441" spans="11:11" x14ac:dyDescent="0.3">
      <c r="K441" s="4" t="str">
        <f t="shared" si="23"/>
        <v/>
      </c>
    </row>
    <row r="442" spans="11:11" x14ac:dyDescent="0.3">
      <c r="K442" s="4" t="str">
        <f t="shared" si="23"/>
        <v/>
      </c>
    </row>
    <row r="443" spans="11:11" x14ac:dyDescent="0.3">
      <c r="K443" s="4" t="str">
        <f t="shared" si="23"/>
        <v/>
      </c>
    </row>
    <row r="444" spans="11:11" x14ac:dyDescent="0.3">
      <c r="K444" s="4" t="str">
        <f t="shared" si="23"/>
        <v/>
      </c>
    </row>
    <row r="445" spans="11:11" x14ac:dyDescent="0.3">
      <c r="K445" s="4" t="str">
        <f t="shared" si="23"/>
        <v/>
      </c>
    </row>
    <row r="446" spans="11:11" x14ac:dyDescent="0.3">
      <c r="K446" s="4" t="str">
        <f t="shared" si="23"/>
        <v/>
      </c>
    </row>
    <row r="447" spans="11:11" x14ac:dyDescent="0.3">
      <c r="K447" s="4" t="str">
        <f t="shared" si="23"/>
        <v/>
      </c>
    </row>
    <row r="448" spans="11:11" x14ac:dyDescent="0.3">
      <c r="K448" s="4" t="str">
        <f t="shared" si="23"/>
        <v/>
      </c>
    </row>
    <row r="449" spans="11:11" x14ac:dyDescent="0.3">
      <c r="K449" s="4" t="str">
        <f t="shared" si="23"/>
        <v/>
      </c>
    </row>
    <row r="450" spans="11:11" x14ac:dyDescent="0.3">
      <c r="K450" s="4" t="str">
        <f t="shared" si="23"/>
        <v/>
      </c>
    </row>
    <row r="451" spans="11:11" x14ac:dyDescent="0.3">
      <c r="K451" s="4" t="str">
        <f t="shared" si="23"/>
        <v/>
      </c>
    </row>
    <row r="452" spans="11:11" x14ac:dyDescent="0.3">
      <c r="K452" s="4" t="str">
        <f t="shared" si="23"/>
        <v/>
      </c>
    </row>
    <row r="453" spans="11:11" x14ac:dyDescent="0.3">
      <c r="K453" s="4" t="str">
        <f t="shared" si="23"/>
        <v/>
      </c>
    </row>
    <row r="454" spans="11:11" x14ac:dyDescent="0.3">
      <c r="K454" s="4" t="str">
        <f t="shared" si="23"/>
        <v/>
      </c>
    </row>
    <row r="455" spans="11:11" x14ac:dyDescent="0.3">
      <c r="K455" s="4" t="str">
        <f>IF(MID(C455,1,5) = "N/A","N/A",MID(C455,1,5))</f>
        <v/>
      </c>
    </row>
    <row r="456" spans="11:11" x14ac:dyDescent="0.3">
      <c r="K456" s="4" t="str">
        <f>IF(MID(C456,1,5) = "N/A","N/A",MID(C456,1,5))</f>
        <v/>
      </c>
    </row>
    <row r="457" spans="11:11" x14ac:dyDescent="0.3">
      <c r="K457" s="4" t="str">
        <f t="shared" ref="K457:K463" si="24">IF(MID(C457,1,6) = "N/A","N/A",MID(C457,1,6))</f>
        <v/>
      </c>
    </row>
    <row r="458" spans="11:11" x14ac:dyDescent="0.3">
      <c r="K458" s="4" t="str">
        <f t="shared" si="24"/>
        <v/>
      </c>
    </row>
    <row r="459" spans="11:11" x14ac:dyDescent="0.3">
      <c r="K459" s="4" t="str">
        <f t="shared" si="24"/>
        <v/>
      </c>
    </row>
    <row r="460" spans="11:11" x14ac:dyDescent="0.3">
      <c r="K460" s="4" t="str">
        <f t="shared" si="24"/>
        <v/>
      </c>
    </row>
    <row r="461" spans="11:11" x14ac:dyDescent="0.3">
      <c r="K461" s="4" t="str">
        <f t="shared" si="24"/>
        <v/>
      </c>
    </row>
    <row r="462" spans="11:11" x14ac:dyDescent="0.3">
      <c r="K462" s="4" t="str">
        <f t="shared" si="24"/>
        <v/>
      </c>
    </row>
    <row r="463" spans="11:11" x14ac:dyDescent="0.3">
      <c r="K463" s="4" t="str">
        <f t="shared" si="24"/>
        <v/>
      </c>
    </row>
    <row r="464" spans="11:11" x14ac:dyDescent="0.3">
      <c r="K464" s="4" t="str">
        <f>IF(MID(C464,1,5) = "N/A","N/A",MID(C464,1,5))</f>
        <v/>
      </c>
    </row>
    <row r="465" spans="11:11" x14ac:dyDescent="0.3">
      <c r="K465" s="4" t="str">
        <f>IF(MID(C465,1,5) = "N/A","N/A",MID(C465,1,5))</f>
        <v/>
      </c>
    </row>
    <row r="466" spans="11:11" x14ac:dyDescent="0.3">
      <c r="K466" s="4" t="str">
        <f>IF(MID(C466,1,5) = "N/A","N/A",MID(C466,1,5))</f>
        <v/>
      </c>
    </row>
    <row r="467" spans="11:11" x14ac:dyDescent="0.3">
      <c r="K467" s="4" t="str">
        <f>IF(MID(C467,1,6) = "N/A","N/A",MID(C467,1,6))</f>
        <v/>
      </c>
    </row>
    <row r="468" spans="11:11" x14ac:dyDescent="0.3">
      <c r="K468" s="4" t="str">
        <f>IF(MID(C468,1,6) = "N/A","N/A",MID(C468,1,6))</f>
        <v/>
      </c>
    </row>
    <row r="469" spans="11:11" x14ac:dyDescent="0.3">
      <c r="K469" s="4" t="str">
        <f t="shared" ref="K469:K489" si="25">IF(MID(C469,1,5) = "N/A","N/A",MID(C469,1,5))</f>
        <v/>
      </c>
    </row>
    <row r="470" spans="11:11" x14ac:dyDescent="0.3">
      <c r="K470" s="4" t="str">
        <f t="shared" si="25"/>
        <v/>
      </c>
    </row>
    <row r="471" spans="11:11" x14ac:dyDescent="0.3">
      <c r="K471" s="4" t="str">
        <f t="shared" si="25"/>
        <v/>
      </c>
    </row>
    <row r="472" spans="11:11" x14ac:dyDescent="0.3">
      <c r="K472" s="4" t="str">
        <f t="shared" si="25"/>
        <v/>
      </c>
    </row>
    <row r="473" spans="11:11" x14ac:dyDescent="0.3">
      <c r="K473" s="4" t="str">
        <f t="shared" si="25"/>
        <v/>
      </c>
    </row>
    <row r="474" spans="11:11" x14ac:dyDescent="0.3">
      <c r="K474" s="4" t="str">
        <f t="shared" si="25"/>
        <v/>
      </c>
    </row>
    <row r="475" spans="11:11" x14ac:dyDescent="0.3">
      <c r="K475" s="4" t="str">
        <f t="shared" si="25"/>
        <v/>
      </c>
    </row>
    <row r="476" spans="11:11" x14ac:dyDescent="0.3">
      <c r="K476" s="4" t="str">
        <f t="shared" si="25"/>
        <v/>
      </c>
    </row>
    <row r="477" spans="11:11" x14ac:dyDescent="0.3">
      <c r="K477" s="4" t="str">
        <f t="shared" si="25"/>
        <v/>
      </c>
    </row>
    <row r="478" spans="11:11" x14ac:dyDescent="0.3">
      <c r="K478" s="4" t="str">
        <f t="shared" si="25"/>
        <v/>
      </c>
    </row>
    <row r="479" spans="11:11" x14ac:dyDescent="0.3">
      <c r="K479" s="4" t="str">
        <f t="shared" si="25"/>
        <v/>
      </c>
    </row>
    <row r="480" spans="11:11" x14ac:dyDescent="0.3">
      <c r="K480" s="4" t="str">
        <f t="shared" si="25"/>
        <v/>
      </c>
    </row>
    <row r="481" spans="11:11" x14ac:dyDescent="0.3">
      <c r="K481" s="4" t="str">
        <f t="shared" si="25"/>
        <v/>
      </c>
    </row>
    <row r="482" spans="11:11" x14ac:dyDescent="0.3">
      <c r="K482" s="4" t="str">
        <f t="shared" si="25"/>
        <v/>
      </c>
    </row>
    <row r="483" spans="11:11" x14ac:dyDescent="0.3">
      <c r="K483" s="4" t="str">
        <f t="shared" si="25"/>
        <v/>
      </c>
    </row>
    <row r="484" spans="11:11" x14ac:dyDescent="0.3">
      <c r="K484" s="4" t="str">
        <f t="shared" si="25"/>
        <v/>
      </c>
    </row>
    <row r="485" spans="11:11" x14ac:dyDescent="0.3">
      <c r="K485" s="4" t="str">
        <f t="shared" si="25"/>
        <v/>
      </c>
    </row>
    <row r="486" spans="11:11" x14ac:dyDescent="0.3">
      <c r="K486" s="4" t="str">
        <f t="shared" si="25"/>
        <v/>
      </c>
    </row>
    <row r="487" spans="11:11" x14ac:dyDescent="0.3">
      <c r="K487" s="4" t="str">
        <f t="shared" si="25"/>
        <v/>
      </c>
    </row>
    <row r="488" spans="11:11" x14ac:dyDescent="0.3">
      <c r="K488" s="4" t="str">
        <f t="shared" si="25"/>
        <v/>
      </c>
    </row>
    <row r="489" spans="11:11" x14ac:dyDescent="0.3">
      <c r="K489" s="4" t="str">
        <f t="shared" si="25"/>
        <v/>
      </c>
    </row>
    <row r="490" spans="11:11" x14ac:dyDescent="0.3">
      <c r="K490" s="4" t="str">
        <f>IF(MID(C490,1,6) = "N/A","N/A",MID(C490,1,6))</f>
        <v/>
      </c>
    </row>
    <row r="491" spans="11:11" x14ac:dyDescent="0.3">
      <c r="K491" s="4" t="str">
        <f>IF(MID(C491,1,6) = "N/A","N/A",MID(C491,1,6))</f>
        <v/>
      </c>
    </row>
    <row r="492" spans="11:11" x14ac:dyDescent="0.3">
      <c r="K492" s="4" t="str">
        <f>IF(MID(C492,1,6) = "N/A","N/A",MID(C492,1,6))</f>
        <v/>
      </c>
    </row>
    <row r="493" spans="11:11" x14ac:dyDescent="0.3">
      <c r="K493" s="4" t="str">
        <f>IF(MID(C493,1,6) = "N/A","N/A",MID(C493,1,6))</f>
        <v/>
      </c>
    </row>
    <row r="494" spans="11:11" x14ac:dyDescent="0.3">
      <c r="K494" s="4" t="str">
        <f>IF(MID(C494,1,5) = "N/A","N/A",MID(C494,1,5))</f>
        <v/>
      </c>
    </row>
    <row r="495" spans="11:11" x14ac:dyDescent="0.3">
      <c r="K495" s="4" t="str">
        <f>IF(MID(C495,1,5) = "N/A","N/A",MID(C495,1,5))</f>
        <v/>
      </c>
    </row>
    <row r="496" spans="11:11" x14ac:dyDescent="0.3">
      <c r="K496" s="4" t="str">
        <f>IF(MID(C496,1,5) = "N/A","N/A",MID(C496,1,5))</f>
        <v/>
      </c>
    </row>
    <row r="497" spans="11:11" x14ac:dyDescent="0.3">
      <c r="K497" s="4" t="str">
        <f>IF(MID(C497,1,5) = "N/A","N/A",MID(C497,1,5))</f>
        <v/>
      </c>
    </row>
    <row r="498" spans="11:11" x14ac:dyDescent="0.3">
      <c r="K498" s="4" t="str">
        <f>IF(MID(C498,1,6) = "N/A","N/A",MID(C498,1,6))</f>
        <v/>
      </c>
    </row>
    <row r="499" spans="11:11" x14ac:dyDescent="0.3">
      <c r="K499" s="4" t="str">
        <f>IF(MID(C499,1,6) = "N/A","N/A",MID(C499,1,6))</f>
        <v/>
      </c>
    </row>
    <row r="500" spans="11:11" x14ac:dyDescent="0.3">
      <c r="K500" s="4" t="str">
        <f t="shared" ref="K500:K505" si="26">IF(MID(C500,1,5) = "N/A","N/A",MID(C500,1,5))</f>
        <v/>
      </c>
    </row>
    <row r="501" spans="11:11" x14ac:dyDescent="0.3">
      <c r="K501" s="4" t="str">
        <f t="shared" si="26"/>
        <v/>
      </c>
    </row>
    <row r="502" spans="11:11" x14ac:dyDescent="0.3">
      <c r="K502" s="4" t="str">
        <f t="shared" si="26"/>
        <v/>
      </c>
    </row>
    <row r="503" spans="11:11" x14ac:dyDescent="0.3">
      <c r="K503" s="4" t="str">
        <f t="shared" si="26"/>
        <v/>
      </c>
    </row>
    <row r="504" spans="11:11" x14ac:dyDescent="0.3">
      <c r="K504" s="4" t="str">
        <f t="shared" si="26"/>
        <v/>
      </c>
    </row>
    <row r="505" spans="11:11" x14ac:dyDescent="0.3">
      <c r="K505" s="4" t="str">
        <f t="shared" si="26"/>
        <v/>
      </c>
    </row>
    <row r="506" spans="11:11" x14ac:dyDescent="0.3">
      <c r="K506" s="4" t="str">
        <f t="shared" ref="K506:K528" si="27">IF(MID(C506,1,6) = "N/A","N/A",MID(C506,1,6))</f>
        <v/>
      </c>
    </row>
    <row r="507" spans="11:11" x14ac:dyDescent="0.3">
      <c r="K507" s="4" t="str">
        <f t="shared" si="27"/>
        <v/>
      </c>
    </row>
    <row r="508" spans="11:11" x14ac:dyDescent="0.3">
      <c r="K508" s="4" t="str">
        <f t="shared" si="27"/>
        <v/>
      </c>
    </row>
    <row r="509" spans="11:11" x14ac:dyDescent="0.3">
      <c r="K509" s="4" t="str">
        <f t="shared" si="27"/>
        <v/>
      </c>
    </row>
    <row r="510" spans="11:11" x14ac:dyDescent="0.3">
      <c r="K510" s="4" t="str">
        <f t="shared" si="27"/>
        <v/>
      </c>
    </row>
    <row r="511" spans="11:11" x14ac:dyDescent="0.3">
      <c r="K511" s="4" t="str">
        <f t="shared" si="27"/>
        <v/>
      </c>
    </row>
    <row r="512" spans="11:11" x14ac:dyDescent="0.3">
      <c r="K512" s="4" t="str">
        <f t="shared" si="27"/>
        <v/>
      </c>
    </row>
    <row r="513" spans="11:11" x14ac:dyDescent="0.3">
      <c r="K513" s="4" t="str">
        <f t="shared" si="27"/>
        <v/>
      </c>
    </row>
    <row r="514" spans="11:11" x14ac:dyDescent="0.3">
      <c r="K514" s="4" t="str">
        <f t="shared" si="27"/>
        <v/>
      </c>
    </row>
    <row r="515" spans="11:11" x14ac:dyDescent="0.3">
      <c r="K515" s="4" t="str">
        <f t="shared" si="27"/>
        <v/>
      </c>
    </row>
    <row r="516" spans="11:11" x14ac:dyDescent="0.3">
      <c r="K516" s="4" t="str">
        <f t="shared" si="27"/>
        <v/>
      </c>
    </row>
    <row r="517" spans="11:11" x14ac:dyDescent="0.3">
      <c r="K517" s="4" t="str">
        <f t="shared" si="27"/>
        <v/>
      </c>
    </row>
    <row r="518" spans="11:11" x14ac:dyDescent="0.3">
      <c r="K518" s="4" t="str">
        <f t="shared" si="27"/>
        <v/>
      </c>
    </row>
    <row r="519" spans="11:11" x14ac:dyDescent="0.3">
      <c r="K519" s="4" t="str">
        <f t="shared" si="27"/>
        <v/>
      </c>
    </row>
    <row r="520" spans="11:11" x14ac:dyDescent="0.3">
      <c r="K520" s="4" t="str">
        <f t="shared" si="27"/>
        <v/>
      </c>
    </row>
    <row r="521" spans="11:11" x14ac:dyDescent="0.3">
      <c r="K521" s="4" t="str">
        <f t="shared" si="27"/>
        <v/>
      </c>
    </row>
    <row r="522" spans="11:11" x14ac:dyDescent="0.3">
      <c r="K522" s="4" t="str">
        <f t="shared" si="27"/>
        <v/>
      </c>
    </row>
    <row r="523" spans="11:11" x14ac:dyDescent="0.3">
      <c r="K523" s="4" t="str">
        <f t="shared" si="27"/>
        <v/>
      </c>
    </row>
    <row r="524" spans="11:11" x14ac:dyDescent="0.3">
      <c r="K524" s="4" t="str">
        <f t="shared" si="27"/>
        <v/>
      </c>
    </row>
    <row r="525" spans="11:11" x14ac:dyDescent="0.3">
      <c r="K525" s="4" t="str">
        <f t="shared" si="27"/>
        <v/>
      </c>
    </row>
    <row r="526" spans="11:11" x14ac:dyDescent="0.3">
      <c r="K526" s="4" t="str">
        <f t="shared" si="27"/>
        <v/>
      </c>
    </row>
    <row r="527" spans="11:11" x14ac:dyDescent="0.3">
      <c r="K527" s="4" t="str">
        <f t="shared" si="27"/>
        <v/>
      </c>
    </row>
    <row r="528" spans="11:11" x14ac:dyDescent="0.3">
      <c r="K528" s="4" t="str">
        <f t="shared" si="27"/>
        <v/>
      </c>
    </row>
    <row r="529" spans="11:11" x14ac:dyDescent="0.3">
      <c r="K529" s="4" t="str">
        <f t="shared" ref="K529:K538" si="28">IF(MID(C529,1,5) = "N/A","N/A",MID(C529,1,5))</f>
        <v/>
      </c>
    </row>
    <row r="530" spans="11:11" x14ac:dyDescent="0.3">
      <c r="K530" s="4" t="str">
        <f t="shared" si="28"/>
        <v/>
      </c>
    </row>
    <row r="531" spans="11:11" x14ac:dyDescent="0.3">
      <c r="K531" s="4" t="str">
        <f t="shared" si="28"/>
        <v/>
      </c>
    </row>
    <row r="532" spans="11:11" x14ac:dyDescent="0.3">
      <c r="K532" s="4" t="str">
        <f t="shared" si="28"/>
        <v/>
      </c>
    </row>
    <row r="533" spans="11:11" x14ac:dyDescent="0.3">
      <c r="K533" s="4" t="str">
        <f t="shared" si="28"/>
        <v/>
      </c>
    </row>
    <row r="534" spans="11:11" x14ac:dyDescent="0.3">
      <c r="K534" s="4" t="str">
        <f t="shared" si="28"/>
        <v/>
      </c>
    </row>
    <row r="535" spans="11:11" x14ac:dyDescent="0.3">
      <c r="K535" s="4" t="str">
        <f t="shared" si="28"/>
        <v/>
      </c>
    </row>
    <row r="536" spans="11:11" x14ac:dyDescent="0.3">
      <c r="K536" s="4" t="str">
        <f t="shared" si="28"/>
        <v/>
      </c>
    </row>
    <row r="537" spans="11:11" x14ac:dyDescent="0.3">
      <c r="K537" s="4" t="str">
        <f t="shared" si="28"/>
        <v/>
      </c>
    </row>
    <row r="538" spans="11:11" x14ac:dyDescent="0.3">
      <c r="K538" s="4" t="str">
        <f t="shared" si="28"/>
        <v/>
      </c>
    </row>
    <row r="539" spans="11:11" x14ac:dyDescent="0.3">
      <c r="K539" s="4" t="str">
        <f t="shared" ref="K539:K545" si="29">IF(MID(C539,1,6) = "N/A","N/A",MID(C539,1,6))</f>
        <v/>
      </c>
    </row>
    <row r="540" spans="11:11" x14ac:dyDescent="0.3">
      <c r="K540" s="4" t="str">
        <f t="shared" si="29"/>
        <v/>
      </c>
    </row>
    <row r="541" spans="11:11" x14ac:dyDescent="0.3">
      <c r="K541" s="4" t="str">
        <f t="shared" si="29"/>
        <v/>
      </c>
    </row>
    <row r="542" spans="11:11" x14ac:dyDescent="0.3">
      <c r="K542" s="4" t="str">
        <f t="shared" si="29"/>
        <v/>
      </c>
    </row>
    <row r="543" spans="11:11" x14ac:dyDescent="0.3">
      <c r="K543" s="4" t="str">
        <f t="shared" si="29"/>
        <v/>
      </c>
    </row>
    <row r="544" spans="11:11" x14ac:dyDescent="0.3">
      <c r="K544" s="4" t="str">
        <f t="shared" si="29"/>
        <v/>
      </c>
    </row>
    <row r="545" spans="11:11" x14ac:dyDescent="0.3">
      <c r="K545" s="4" t="str">
        <f t="shared" si="29"/>
        <v/>
      </c>
    </row>
    <row r="546" spans="11:11" x14ac:dyDescent="0.3">
      <c r="K546" s="4" t="str">
        <f>IF(MID(C546,1,5) = "N/A","N/A",MID(C546,1,5))</f>
        <v/>
      </c>
    </row>
    <row r="547" spans="11:11" x14ac:dyDescent="0.3">
      <c r="K547" s="4" t="str">
        <f>IF(MID(C547,1,6) = "N/A","N/A",MID(C547,1,6))</f>
        <v/>
      </c>
    </row>
    <row r="548" spans="11:11" x14ac:dyDescent="0.3">
      <c r="K548" s="4" t="str">
        <f>IF(MID(C548,1,6) = "N/A","N/A",MID(C548,1,6))</f>
        <v/>
      </c>
    </row>
    <row r="549" spans="11:11" x14ac:dyDescent="0.3">
      <c r="K549" s="4" t="str">
        <f>IF(MID(C549,1,6) = "N/A","N/A",MID(C549,1,6))</f>
        <v/>
      </c>
    </row>
    <row r="550" spans="11:11" x14ac:dyDescent="0.3">
      <c r="K550" s="4" t="str">
        <f>IF(MID(C550,1,6) = "N/A","N/A",MID(C550,1,6))</f>
        <v/>
      </c>
    </row>
    <row r="551" spans="11:11" x14ac:dyDescent="0.3">
      <c r="K551" s="4" t="str">
        <f t="shared" ref="K551:K552" si="30">IF(MID(C551,1,6) = "N/A","N/A",MID(C551,1,6))</f>
        <v/>
      </c>
    </row>
    <row r="552" spans="11:11" x14ac:dyDescent="0.3">
      <c r="K552" s="4" t="str">
        <f t="shared" si="30"/>
        <v/>
      </c>
    </row>
    <row r="553" spans="11:11" x14ac:dyDescent="0.3">
      <c r="K553" s="4" t="str">
        <f t="shared" ref="K553:K576" si="31">IF(MID(C553,1,5) = "N/A","N/A",MID(C553,1,5))</f>
        <v/>
      </c>
    </row>
    <row r="554" spans="11:11" x14ac:dyDescent="0.3">
      <c r="K554" s="4" t="str">
        <f t="shared" si="31"/>
        <v/>
      </c>
    </row>
    <row r="555" spans="11:11" x14ac:dyDescent="0.3">
      <c r="K555" s="4" t="str">
        <f t="shared" si="31"/>
        <v/>
      </c>
    </row>
    <row r="556" spans="11:11" x14ac:dyDescent="0.3">
      <c r="K556" s="4" t="str">
        <f t="shared" si="31"/>
        <v/>
      </c>
    </row>
    <row r="557" spans="11:11" x14ac:dyDescent="0.3">
      <c r="K557" s="4" t="str">
        <f t="shared" si="31"/>
        <v/>
      </c>
    </row>
    <row r="558" spans="11:11" x14ac:dyDescent="0.3">
      <c r="K558" s="4" t="str">
        <f t="shared" si="31"/>
        <v/>
      </c>
    </row>
    <row r="559" spans="11:11" x14ac:dyDescent="0.3">
      <c r="K559" s="4" t="str">
        <f t="shared" si="31"/>
        <v/>
      </c>
    </row>
    <row r="560" spans="11:11" x14ac:dyDescent="0.3">
      <c r="K560" s="4" t="str">
        <f t="shared" si="31"/>
        <v/>
      </c>
    </row>
    <row r="561" spans="11:11" x14ac:dyDescent="0.3">
      <c r="K561" s="4" t="str">
        <f t="shared" si="31"/>
        <v/>
      </c>
    </row>
    <row r="562" spans="11:11" x14ac:dyDescent="0.3">
      <c r="K562" s="4" t="str">
        <f t="shared" si="31"/>
        <v/>
      </c>
    </row>
    <row r="563" spans="11:11" x14ac:dyDescent="0.3">
      <c r="K563" s="4" t="str">
        <f t="shared" si="31"/>
        <v/>
      </c>
    </row>
    <row r="564" spans="11:11" x14ac:dyDescent="0.3">
      <c r="K564" s="4" t="str">
        <f t="shared" si="31"/>
        <v/>
      </c>
    </row>
    <row r="565" spans="11:11" x14ac:dyDescent="0.3">
      <c r="K565" s="4" t="str">
        <f t="shared" si="31"/>
        <v/>
      </c>
    </row>
    <row r="566" spans="11:11" x14ac:dyDescent="0.3">
      <c r="K566" s="4" t="str">
        <f t="shared" si="31"/>
        <v/>
      </c>
    </row>
    <row r="567" spans="11:11" x14ac:dyDescent="0.3">
      <c r="K567" s="4" t="str">
        <f t="shared" si="31"/>
        <v/>
      </c>
    </row>
    <row r="568" spans="11:11" x14ac:dyDescent="0.3">
      <c r="K568" s="4" t="str">
        <f t="shared" si="31"/>
        <v/>
      </c>
    </row>
    <row r="569" spans="11:11" x14ac:dyDescent="0.3">
      <c r="K569" s="4" t="str">
        <f t="shared" si="31"/>
        <v/>
      </c>
    </row>
    <row r="570" spans="11:11" x14ac:dyDescent="0.3">
      <c r="K570" s="4" t="str">
        <f t="shared" si="31"/>
        <v/>
      </c>
    </row>
    <row r="571" spans="11:11" x14ac:dyDescent="0.3">
      <c r="K571" s="4" t="str">
        <f t="shared" si="31"/>
        <v/>
      </c>
    </row>
    <row r="572" spans="11:11" x14ac:dyDescent="0.3">
      <c r="K572" s="4" t="str">
        <f t="shared" si="31"/>
        <v/>
      </c>
    </row>
    <row r="573" spans="11:11" x14ac:dyDescent="0.3">
      <c r="K573" s="4" t="str">
        <f t="shared" si="31"/>
        <v/>
      </c>
    </row>
    <row r="574" spans="11:11" x14ac:dyDescent="0.3">
      <c r="K574" s="4" t="str">
        <f t="shared" si="31"/>
        <v/>
      </c>
    </row>
    <row r="575" spans="11:11" x14ac:dyDescent="0.3">
      <c r="K575" s="4" t="str">
        <f t="shared" si="31"/>
        <v/>
      </c>
    </row>
    <row r="576" spans="11:11" x14ac:dyDescent="0.3">
      <c r="K576" s="4" t="str">
        <f t="shared" si="31"/>
        <v/>
      </c>
    </row>
    <row r="577" spans="11:11" x14ac:dyDescent="0.3">
      <c r="K577" s="4" t="str">
        <f t="shared" ref="K577:K583" si="32">IF(MID(C577,1,6) = "N/A","N/A",MID(C577,1,6))</f>
        <v/>
      </c>
    </row>
    <row r="578" spans="11:11" x14ac:dyDescent="0.3">
      <c r="K578" s="4" t="str">
        <f t="shared" ref="K578:K579" si="33">IF(MID(C578,1,5) = "N/A","N/A",MID(C578,1,5))</f>
        <v/>
      </c>
    </row>
    <row r="579" spans="11:11" x14ac:dyDescent="0.3">
      <c r="K579" s="4" t="str">
        <f t="shared" si="33"/>
        <v/>
      </c>
    </row>
    <row r="580" spans="11:11" x14ac:dyDescent="0.3">
      <c r="K580" s="4" t="str">
        <f t="shared" si="32"/>
        <v/>
      </c>
    </row>
    <row r="581" spans="11:11" x14ac:dyDescent="0.3">
      <c r="K581" s="4" t="str">
        <f t="shared" si="32"/>
        <v/>
      </c>
    </row>
    <row r="582" spans="11:11" x14ac:dyDescent="0.3">
      <c r="K582" s="4" t="str">
        <f t="shared" si="32"/>
        <v/>
      </c>
    </row>
    <row r="583" spans="11:11" x14ac:dyDescent="0.3">
      <c r="K583" s="4" t="str">
        <f t="shared" si="32"/>
        <v/>
      </c>
    </row>
  </sheetData>
  <phoneticPr fontId="8" type="noConversion"/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topLeftCell="A3" workbookViewId="0"/>
  </sheetViews>
  <sheetFormatPr defaultRowHeight="14.4" x14ac:dyDescent="0.3"/>
  <cols>
    <col min="1" max="1" width="110" customWidth="1"/>
  </cols>
  <sheetData>
    <row r="1" spans="1:1" ht="19.2" customHeight="1" x14ac:dyDescent="0.35">
      <c r="A1" s="2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13</v>
      </c>
    </row>
    <row r="6" spans="1:1" ht="14.4" customHeight="1" x14ac:dyDescent="0.3">
      <c r="A6" s="3" t="s">
        <v>16</v>
      </c>
    </row>
    <row r="7" spans="1:1" x14ac:dyDescent="0.3">
      <c r="A7" t="s">
        <v>13</v>
      </c>
    </row>
    <row r="8" spans="1:1" x14ac:dyDescent="0.3">
      <c r="A8" t="s">
        <v>17</v>
      </c>
    </row>
    <row r="9" spans="1:1" x14ac:dyDescent="0.3">
      <c r="A9" t="s">
        <v>18</v>
      </c>
    </row>
    <row r="10" spans="1:1" x14ac:dyDescent="0.3">
      <c r="A10" t="s">
        <v>19</v>
      </c>
    </row>
    <row r="11" spans="1:1" x14ac:dyDescent="0.3">
      <c r="A11" t="s">
        <v>20</v>
      </c>
    </row>
    <row r="12" spans="1:1" x14ac:dyDescent="0.3">
      <c r="A12" t="s">
        <v>21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24</v>
      </c>
    </row>
    <row r="16" spans="1:1" x14ac:dyDescent="0.3">
      <c r="A16" t="s">
        <v>25</v>
      </c>
    </row>
    <row r="17" spans="1:1" x14ac:dyDescent="0.3">
      <c r="A17" t="s">
        <v>26</v>
      </c>
    </row>
    <row r="18" spans="1:1" x14ac:dyDescent="0.3">
      <c r="A18" t="s">
        <v>13</v>
      </c>
    </row>
    <row r="19" spans="1:1" ht="14.4" customHeight="1" x14ac:dyDescent="0.3">
      <c r="A19" s="3" t="s">
        <v>27</v>
      </c>
    </row>
    <row r="20" spans="1:1" x14ac:dyDescent="0.3">
      <c r="A20" t="s">
        <v>13</v>
      </c>
    </row>
    <row r="21" spans="1:1" x14ac:dyDescent="0.3">
      <c r="A21" t="s">
        <v>28</v>
      </c>
    </row>
    <row r="22" spans="1:1" x14ac:dyDescent="0.3">
      <c r="A22" t="s">
        <v>29</v>
      </c>
    </row>
    <row r="23" spans="1:1" x14ac:dyDescent="0.3">
      <c r="A23" t="s">
        <v>30</v>
      </c>
    </row>
    <row r="24" spans="1:1" x14ac:dyDescent="0.3">
      <c r="A24" t="s">
        <v>31</v>
      </c>
    </row>
    <row r="25" spans="1:1" x14ac:dyDescent="0.3">
      <c r="A25" t="s">
        <v>13</v>
      </c>
    </row>
    <row r="26" spans="1:1" ht="14.4" customHeight="1" x14ac:dyDescent="0.3">
      <c r="A26" s="3" t="s">
        <v>32</v>
      </c>
    </row>
    <row r="27" spans="1:1" x14ac:dyDescent="0.3">
      <c r="A27" t="s">
        <v>13</v>
      </c>
    </row>
    <row r="28" spans="1:1" x14ac:dyDescent="0.3">
      <c r="A28" t="s">
        <v>33</v>
      </c>
    </row>
    <row r="29" spans="1:1" x14ac:dyDescent="0.3">
      <c r="A29" t="s">
        <v>34</v>
      </c>
    </row>
    <row r="30" spans="1:1" x14ac:dyDescent="0.3">
      <c r="A30" t="s">
        <v>35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8422-CB65-48B8-ACF8-670586F15100}">
  <dimension ref="A1:V976"/>
  <sheetViews>
    <sheetView workbookViewId="0">
      <selection activeCell="G4" sqref="G4"/>
    </sheetView>
  </sheetViews>
  <sheetFormatPr defaultRowHeight="14.4" x14ac:dyDescent="0.3"/>
  <cols>
    <col min="1" max="1" width="9.109375" style="9" bestFit="1" customWidth="1"/>
    <col min="2" max="2" width="23.21875" style="9" bestFit="1" customWidth="1"/>
    <col min="3" max="3" width="55" style="9" bestFit="1" customWidth="1"/>
    <col min="4" max="4" width="14.77734375" style="9" bestFit="1" customWidth="1"/>
    <col min="5" max="16384" width="8.88671875" style="9"/>
  </cols>
  <sheetData>
    <row r="1" spans="1:22" ht="15" thickBot="1" x14ac:dyDescent="0.35">
      <c r="A1" s="5" t="s">
        <v>36</v>
      </c>
      <c r="B1" s="5" t="s">
        <v>37</v>
      </c>
      <c r="C1" s="5" t="s">
        <v>38</v>
      </c>
      <c r="D1" s="5" t="s">
        <v>4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5" thickBot="1" x14ac:dyDescent="0.35">
      <c r="A2" s="8" t="s">
        <v>39</v>
      </c>
      <c r="B2" s="8" t="s">
        <v>40</v>
      </c>
      <c r="C2" s="8" t="s">
        <v>41</v>
      </c>
      <c r="D2" s="8" t="s">
        <v>295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ht="15" thickBot="1" x14ac:dyDescent="0.35">
      <c r="A3" s="8" t="s">
        <v>42</v>
      </c>
      <c r="B3" s="8" t="s">
        <v>43</v>
      </c>
      <c r="C3" s="8" t="s">
        <v>44</v>
      </c>
      <c r="D3" s="8" t="s">
        <v>296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ht="15" thickBot="1" x14ac:dyDescent="0.35">
      <c r="A4" s="8" t="s">
        <v>45</v>
      </c>
      <c r="B4" s="8" t="s">
        <v>46</v>
      </c>
      <c r="C4" s="8" t="s">
        <v>47</v>
      </c>
      <c r="D4" s="8" t="s">
        <v>297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ht="15" thickBot="1" x14ac:dyDescent="0.35">
      <c r="A5" s="8" t="s">
        <v>48</v>
      </c>
      <c r="B5" s="8" t="s">
        <v>49</v>
      </c>
      <c r="C5" s="8" t="s">
        <v>50</v>
      </c>
      <c r="D5" s="8" t="s">
        <v>298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15" thickBot="1" x14ac:dyDescent="0.35">
      <c r="A6" s="8" t="s">
        <v>51</v>
      </c>
      <c r="B6" s="8" t="s">
        <v>52</v>
      </c>
      <c r="C6" s="8" t="s">
        <v>53</v>
      </c>
      <c r="D6" s="8" t="s">
        <v>300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ht="15" thickBot="1" x14ac:dyDescent="0.35">
      <c r="A7" s="8" t="s">
        <v>54</v>
      </c>
      <c r="B7" s="8" t="s">
        <v>55</v>
      </c>
      <c r="C7" s="8" t="s">
        <v>56</v>
      </c>
      <c r="D7" s="8" t="s">
        <v>299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ht="15" thickBot="1" x14ac:dyDescent="0.35">
      <c r="A8" s="8" t="s">
        <v>57</v>
      </c>
      <c r="B8" s="8" t="s">
        <v>58</v>
      </c>
      <c r="C8" s="8" t="s">
        <v>59</v>
      </c>
      <c r="D8" s="8" t="s">
        <v>301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ht="15" thickBot="1" x14ac:dyDescent="0.35">
      <c r="A9" s="8" t="s">
        <v>60</v>
      </c>
      <c r="B9" s="8" t="s">
        <v>61</v>
      </c>
      <c r="C9" s="8" t="s">
        <v>59</v>
      </c>
      <c r="D9" s="8" t="s">
        <v>302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ht="15" thickBot="1" x14ac:dyDescent="0.35">
      <c r="A10" s="8" t="s">
        <v>62</v>
      </c>
      <c r="B10" s="8" t="s">
        <v>63</v>
      </c>
      <c r="C10" s="8" t="s">
        <v>59</v>
      </c>
      <c r="D10" s="8" t="s">
        <v>303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ht="15" thickBot="1" x14ac:dyDescent="0.35">
      <c r="A11" s="8" t="s">
        <v>64</v>
      </c>
      <c r="B11" s="8" t="s">
        <v>7</v>
      </c>
      <c r="C11" s="8" t="s">
        <v>65</v>
      </c>
      <c r="D11" s="8" t="s">
        <v>8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ht="15" thickBot="1" x14ac:dyDescent="0.35">
      <c r="A12" s="8" t="s">
        <v>66</v>
      </c>
      <c r="B12" s="8" t="s">
        <v>291</v>
      </c>
      <c r="C12" s="8" t="s">
        <v>67</v>
      </c>
      <c r="D12" s="8" t="s">
        <v>306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ht="15" thickBot="1" x14ac:dyDescent="0.35">
      <c r="A13" s="8" t="s">
        <v>304</v>
      </c>
      <c r="B13" s="8" t="s">
        <v>305</v>
      </c>
      <c r="C13" s="8" t="s">
        <v>67</v>
      </c>
      <c r="D13" s="8" t="s">
        <v>11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ht="15" thickBot="1" x14ac:dyDescent="0.35">
      <c r="A14" s="8" t="s">
        <v>68</v>
      </c>
      <c r="B14" s="8" t="s">
        <v>292</v>
      </c>
      <c r="C14" s="8" t="s">
        <v>67</v>
      </c>
      <c r="D14" s="8" t="s">
        <v>307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ht="15" thickBot="1" x14ac:dyDescent="0.35">
      <c r="A15" s="8" t="s">
        <v>69</v>
      </c>
      <c r="B15" s="8" t="s">
        <v>292</v>
      </c>
      <c r="C15" s="8" t="s">
        <v>67</v>
      </c>
      <c r="D15" s="8" t="s">
        <v>308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ht="15" thickBot="1" x14ac:dyDescent="0.35">
      <c r="A16" s="8" t="s">
        <v>70</v>
      </c>
      <c r="B16" s="8" t="s">
        <v>71</v>
      </c>
      <c r="C16" s="8" t="s">
        <v>72</v>
      </c>
      <c r="D16" s="8" t="s">
        <v>309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15" thickBot="1" x14ac:dyDescent="0.35">
      <c r="A17" s="8" t="s">
        <v>73</v>
      </c>
      <c r="B17" s="8" t="s">
        <v>71</v>
      </c>
      <c r="C17" s="8" t="s">
        <v>72</v>
      </c>
      <c r="D17" s="8" t="s">
        <v>310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ht="15" thickBot="1" x14ac:dyDescent="0.35">
      <c r="A18" s="8" t="s">
        <v>74</v>
      </c>
      <c r="B18" s="8" t="s">
        <v>75</v>
      </c>
      <c r="C18" s="8" t="s">
        <v>72</v>
      </c>
      <c r="D18" s="8" t="s">
        <v>311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ht="15" thickBot="1" x14ac:dyDescent="0.35">
      <c r="A19" s="8" t="s">
        <v>76</v>
      </c>
      <c r="B19" s="8" t="s">
        <v>75</v>
      </c>
      <c r="C19" s="8" t="s">
        <v>72</v>
      </c>
      <c r="D19" s="8" t="s">
        <v>312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ht="15" thickBot="1" x14ac:dyDescent="0.35">
      <c r="A20" s="8" t="s">
        <v>78</v>
      </c>
      <c r="B20" s="8" t="s">
        <v>77</v>
      </c>
      <c r="C20" s="8" t="s">
        <v>72</v>
      </c>
      <c r="D20" s="8" t="s">
        <v>10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ht="15" thickBot="1" x14ac:dyDescent="0.35">
      <c r="A21" s="8" t="s">
        <v>294</v>
      </c>
      <c r="B21" s="8" t="s">
        <v>293</v>
      </c>
      <c r="C21" s="8" t="s">
        <v>72</v>
      </c>
      <c r="D21" s="8" t="s">
        <v>313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ht="15" thickBot="1" x14ac:dyDescent="0.35">
      <c r="A22" s="8" t="s">
        <v>80</v>
      </c>
      <c r="B22" s="8" t="s">
        <v>79</v>
      </c>
      <c r="C22" s="8" t="s">
        <v>44</v>
      </c>
      <c r="D22" s="8" t="s">
        <v>314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ht="15" thickBot="1" x14ac:dyDescent="0.35">
      <c r="A23" s="8" t="s">
        <v>82</v>
      </c>
      <c r="B23" s="8" t="s">
        <v>83</v>
      </c>
      <c r="C23" s="8" t="s">
        <v>81</v>
      </c>
      <c r="D23" s="8" t="s">
        <v>317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ht="15" thickBot="1" x14ac:dyDescent="0.35">
      <c r="A24" s="8" t="s">
        <v>86</v>
      </c>
      <c r="B24" s="8" t="s">
        <v>85</v>
      </c>
      <c r="C24" s="8" t="s">
        <v>81</v>
      </c>
      <c r="D24" s="8" t="s">
        <v>319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ht="15" thickBot="1" x14ac:dyDescent="0.35">
      <c r="A25" s="8" t="s">
        <v>316</v>
      </c>
      <c r="B25" s="8" t="s">
        <v>87</v>
      </c>
      <c r="C25" s="8" t="s">
        <v>81</v>
      </c>
      <c r="D25" s="8" t="s">
        <v>320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ht="15" thickBot="1" x14ac:dyDescent="0.35">
      <c r="A26" s="8" t="s">
        <v>315</v>
      </c>
      <c r="B26" s="8" t="s">
        <v>88</v>
      </c>
      <c r="C26" s="8" t="s">
        <v>81</v>
      </c>
      <c r="D26" s="8" t="s">
        <v>321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ht="15" thickBot="1" x14ac:dyDescent="0.35">
      <c r="A27" s="8" t="s">
        <v>89</v>
      </c>
      <c r="B27" s="8" t="s">
        <v>90</v>
      </c>
      <c r="C27" s="8" t="s">
        <v>81</v>
      </c>
      <c r="D27" s="8" t="s">
        <v>322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ht="15" thickBot="1" x14ac:dyDescent="0.35">
      <c r="A28" s="8" t="s">
        <v>91</v>
      </c>
      <c r="B28" s="8" t="s">
        <v>84</v>
      </c>
      <c r="C28" s="8" t="s">
        <v>81</v>
      </c>
      <c r="D28" s="8" t="s">
        <v>318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 ht="15" thickBot="1" x14ac:dyDescent="0.35">
      <c r="A29" s="8" t="s">
        <v>187</v>
      </c>
      <c r="B29" s="10" t="s">
        <v>92</v>
      </c>
      <c r="C29" s="11" t="s">
        <v>286</v>
      </c>
      <c r="D29" s="10" t="s">
        <v>323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1:22" ht="15" thickBot="1" x14ac:dyDescent="0.35">
      <c r="A30" s="8" t="s">
        <v>188</v>
      </c>
      <c r="B30" s="10" t="s">
        <v>93</v>
      </c>
      <c r="C30" s="11" t="s">
        <v>286</v>
      </c>
      <c r="D30" s="10" t="s">
        <v>324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 ht="15" thickBot="1" x14ac:dyDescent="0.35">
      <c r="A31" s="8" t="s">
        <v>189</v>
      </c>
      <c r="B31" s="10" t="s">
        <v>94</v>
      </c>
      <c r="C31" s="11" t="s">
        <v>286</v>
      </c>
      <c r="D31" s="10" t="s">
        <v>325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ht="15" thickBot="1" x14ac:dyDescent="0.35">
      <c r="A32" s="8" t="s">
        <v>190</v>
      </c>
      <c r="B32" s="10" t="s">
        <v>95</v>
      </c>
      <c r="C32" s="11" t="s">
        <v>286</v>
      </c>
      <c r="D32" s="10" t="s">
        <v>326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ht="15" thickBot="1" x14ac:dyDescent="0.35">
      <c r="A33" s="8" t="s">
        <v>191</v>
      </c>
      <c r="B33" s="10" t="s">
        <v>96</v>
      </c>
      <c r="C33" s="11" t="s">
        <v>286</v>
      </c>
      <c r="D33" s="10" t="s">
        <v>327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 ht="15" thickBot="1" x14ac:dyDescent="0.35">
      <c r="A34" s="8" t="s">
        <v>192</v>
      </c>
      <c r="B34" s="10" t="s">
        <v>97</v>
      </c>
      <c r="C34" s="11" t="s">
        <v>286</v>
      </c>
      <c r="D34" s="10" t="s">
        <v>328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ht="15" thickBot="1" x14ac:dyDescent="0.35">
      <c r="A35" s="8" t="s">
        <v>193</v>
      </c>
      <c r="B35" s="10" t="s">
        <v>98</v>
      </c>
      <c r="C35" s="11" t="s">
        <v>286</v>
      </c>
      <c r="D35" s="10" t="s">
        <v>329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ht="15" thickBot="1" x14ac:dyDescent="0.35">
      <c r="A36" s="8" t="s">
        <v>194</v>
      </c>
      <c r="B36" s="10" t="s">
        <v>99</v>
      </c>
      <c r="C36" s="11" t="s">
        <v>286</v>
      </c>
      <c r="D36" s="10" t="s">
        <v>330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ht="15" thickBot="1" x14ac:dyDescent="0.35">
      <c r="A37" s="8" t="s">
        <v>195</v>
      </c>
      <c r="B37" s="10" t="s">
        <v>100</v>
      </c>
      <c r="C37" s="11" t="s">
        <v>286</v>
      </c>
      <c r="D37" s="10" t="s">
        <v>331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ht="15" thickBot="1" x14ac:dyDescent="0.35">
      <c r="A38" s="8" t="s">
        <v>196</v>
      </c>
      <c r="B38" s="10" t="s">
        <v>101</v>
      </c>
      <c r="C38" s="11" t="s">
        <v>286</v>
      </c>
      <c r="D38" s="10" t="s">
        <v>332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ht="15" customHeight="1" thickBot="1" x14ac:dyDescent="0.35">
      <c r="A39" s="8" t="s">
        <v>197</v>
      </c>
      <c r="B39" s="10" t="s">
        <v>102</v>
      </c>
      <c r="C39" s="11" t="s">
        <v>286</v>
      </c>
      <c r="D39" s="10" t="s">
        <v>333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ht="15" customHeight="1" thickBot="1" x14ac:dyDescent="0.35">
      <c r="A40" s="8" t="s">
        <v>198</v>
      </c>
      <c r="B40" s="10" t="s">
        <v>103</v>
      </c>
      <c r="C40" s="11" t="s">
        <v>286</v>
      </c>
      <c r="D40" s="10" t="s">
        <v>334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ht="15" thickBot="1" x14ac:dyDescent="0.35">
      <c r="A41" s="8" t="s">
        <v>199</v>
      </c>
      <c r="B41" s="10" t="s">
        <v>104</v>
      </c>
      <c r="C41" s="11" t="s">
        <v>286</v>
      </c>
      <c r="D41" s="10" t="s">
        <v>335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ht="15" thickBot="1" x14ac:dyDescent="0.35">
      <c r="A42" s="8" t="s">
        <v>200</v>
      </c>
      <c r="B42" s="10" t="s">
        <v>105</v>
      </c>
      <c r="C42" s="11" t="s">
        <v>286</v>
      </c>
      <c r="D42" s="10" t="s">
        <v>336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ht="15" thickBot="1" x14ac:dyDescent="0.35">
      <c r="A43" s="8" t="s">
        <v>201</v>
      </c>
      <c r="B43" s="10" t="s">
        <v>106</v>
      </c>
      <c r="C43" s="11" t="s">
        <v>286</v>
      </c>
      <c r="D43" s="10" t="s">
        <v>337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ht="15" thickBot="1" x14ac:dyDescent="0.35">
      <c r="A44" s="8" t="s">
        <v>287</v>
      </c>
      <c r="B44" s="10" t="s">
        <v>107</v>
      </c>
      <c r="C44" s="11" t="s">
        <v>286</v>
      </c>
      <c r="D44" s="10" t="s">
        <v>338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ht="15" thickBot="1" x14ac:dyDescent="0.35">
      <c r="A45" s="8" t="s">
        <v>290</v>
      </c>
      <c r="B45" s="10" t="s">
        <v>108</v>
      </c>
      <c r="C45" s="11" t="s">
        <v>286</v>
      </c>
      <c r="D45" s="10" t="s">
        <v>339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ht="15" thickBot="1" x14ac:dyDescent="0.35">
      <c r="A46" s="8" t="s">
        <v>288</v>
      </c>
      <c r="B46" s="10" t="s">
        <v>107</v>
      </c>
      <c r="C46" s="11" t="s">
        <v>286</v>
      </c>
      <c r="D46" s="10" t="s">
        <v>356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ht="15" thickBot="1" x14ac:dyDescent="0.35">
      <c r="A47" s="8" t="s">
        <v>289</v>
      </c>
      <c r="B47" s="10" t="s">
        <v>108</v>
      </c>
      <c r="C47" s="11" t="s">
        <v>286</v>
      </c>
      <c r="D47" s="10" t="s">
        <v>357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ht="15" thickBot="1" x14ac:dyDescent="0.35">
      <c r="A48" s="8" t="s">
        <v>202</v>
      </c>
      <c r="B48" s="10" t="s">
        <v>109</v>
      </c>
      <c r="C48" s="11" t="s">
        <v>286</v>
      </c>
      <c r="D48" s="10" t="s">
        <v>340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 ht="15" thickBot="1" x14ac:dyDescent="0.35">
      <c r="A49" s="8" t="s">
        <v>203</v>
      </c>
      <c r="B49" s="10" t="s">
        <v>110</v>
      </c>
      <c r="C49" s="11" t="s">
        <v>286</v>
      </c>
      <c r="D49" s="10" t="s">
        <v>341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15" thickBot="1" x14ac:dyDescent="0.35">
      <c r="A50" s="8" t="s">
        <v>204</v>
      </c>
      <c r="B50" s="10" t="s">
        <v>111</v>
      </c>
      <c r="C50" s="11" t="s">
        <v>286</v>
      </c>
      <c r="D50" s="10" t="s">
        <v>342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 ht="15" thickBot="1" x14ac:dyDescent="0.35">
      <c r="A51" s="8" t="s">
        <v>205</v>
      </c>
      <c r="B51" s="10" t="s">
        <v>112</v>
      </c>
      <c r="C51" s="11" t="s">
        <v>286</v>
      </c>
      <c r="D51" s="10" t="s">
        <v>343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 ht="15" thickBot="1" x14ac:dyDescent="0.35">
      <c r="A52" s="8" t="s">
        <v>206</v>
      </c>
      <c r="B52" s="10" t="s">
        <v>113</v>
      </c>
      <c r="C52" s="11" t="s">
        <v>286</v>
      </c>
      <c r="D52" s="10" t="s">
        <v>344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ht="15" thickBot="1" x14ac:dyDescent="0.35">
      <c r="A53" s="8" t="s">
        <v>207</v>
      </c>
      <c r="B53" s="10" t="s">
        <v>114</v>
      </c>
      <c r="C53" s="11" t="s">
        <v>286</v>
      </c>
      <c r="D53" s="10" t="s">
        <v>345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 ht="15" thickBot="1" x14ac:dyDescent="0.35">
      <c r="A54" s="8" t="s">
        <v>208</v>
      </c>
      <c r="B54" s="10" t="s">
        <v>115</v>
      </c>
      <c r="C54" s="11" t="s">
        <v>286</v>
      </c>
      <c r="D54" s="10" t="s">
        <v>346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 ht="15" thickBot="1" x14ac:dyDescent="0.35">
      <c r="A55" s="8" t="s">
        <v>209</v>
      </c>
      <c r="B55" s="10" t="s">
        <v>116</v>
      </c>
      <c r="C55" s="11" t="s">
        <v>286</v>
      </c>
      <c r="D55" s="10" t="s">
        <v>347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 ht="15" thickBot="1" x14ac:dyDescent="0.35">
      <c r="A56" s="8" t="s">
        <v>210</v>
      </c>
      <c r="B56" s="10" t="s">
        <v>117</v>
      </c>
      <c r="C56" s="11" t="s">
        <v>286</v>
      </c>
      <c r="D56" s="10" t="s">
        <v>348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1:22" ht="15" thickBot="1" x14ac:dyDescent="0.35">
      <c r="A57" s="8" t="s">
        <v>211</v>
      </c>
      <c r="B57" s="10" t="s">
        <v>118</v>
      </c>
      <c r="C57" s="11" t="s">
        <v>286</v>
      </c>
      <c r="D57" s="10" t="s">
        <v>349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 ht="15" thickBot="1" x14ac:dyDescent="0.35">
      <c r="A58" s="8" t="s">
        <v>212</v>
      </c>
      <c r="B58" s="10" t="s">
        <v>119</v>
      </c>
      <c r="C58" s="11" t="s">
        <v>286</v>
      </c>
      <c r="D58" s="10" t="s">
        <v>350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 ht="15" thickBot="1" x14ac:dyDescent="0.35">
      <c r="A59" s="8" t="s">
        <v>213</v>
      </c>
      <c r="B59" s="10" t="s">
        <v>120</v>
      </c>
      <c r="C59" s="11" t="s">
        <v>286</v>
      </c>
      <c r="D59" s="10" t="s">
        <v>351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2" ht="15" thickBot="1" x14ac:dyDescent="0.35">
      <c r="A60" s="8" t="s">
        <v>214</v>
      </c>
      <c r="B60" s="10" t="s">
        <v>121</v>
      </c>
      <c r="C60" s="11" t="s">
        <v>286</v>
      </c>
      <c r="D60" s="10" t="s">
        <v>352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spans="1:22" ht="15" thickBot="1" x14ac:dyDescent="0.35">
      <c r="A61" s="8" t="s">
        <v>215</v>
      </c>
      <c r="B61" s="10" t="s">
        <v>122</v>
      </c>
      <c r="C61" s="11" t="s">
        <v>286</v>
      </c>
      <c r="D61" s="10" t="s">
        <v>353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1:22" ht="15" thickBot="1" x14ac:dyDescent="0.35">
      <c r="A62" s="8" t="s">
        <v>216</v>
      </c>
      <c r="B62" s="10" t="s">
        <v>123</v>
      </c>
      <c r="C62" s="11" t="s">
        <v>286</v>
      </c>
      <c r="D62" s="10" t="s">
        <v>354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spans="1:22" ht="15" thickBot="1" x14ac:dyDescent="0.35">
      <c r="A63" s="8" t="s">
        <v>217</v>
      </c>
      <c r="B63" s="10" t="s">
        <v>124</v>
      </c>
      <c r="C63" s="11" t="s">
        <v>286</v>
      </c>
      <c r="D63" s="10" t="s">
        <v>355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1:22" ht="15" thickBot="1" x14ac:dyDescent="0.35">
      <c r="A64" s="8" t="s">
        <v>218</v>
      </c>
      <c r="B64" s="10" t="s">
        <v>125</v>
      </c>
      <c r="C64" s="11" t="s">
        <v>285</v>
      </c>
      <c r="D64" s="10" t="s">
        <v>358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spans="1:22" ht="15" thickBot="1" x14ac:dyDescent="0.35">
      <c r="A65" s="8" t="s">
        <v>219</v>
      </c>
      <c r="B65" s="10" t="s">
        <v>126</v>
      </c>
      <c r="C65" s="11" t="s">
        <v>285</v>
      </c>
      <c r="D65" s="10" t="s">
        <v>359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spans="1:22" ht="15" thickBot="1" x14ac:dyDescent="0.35">
      <c r="A66" s="8" t="s">
        <v>220</v>
      </c>
      <c r="B66" s="10" t="s">
        <v>127</v>
      </c>
      <c r="C66" s="11" t="s">
        <v>285</v>
      </c>
      <c r="D66" s="10" t="s">
        <v>360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1:22" ht="15" thickBot="1" x14ac:dyDescent="0.35">
      <c r="A67" s="8" t="s">
        <v>221</v>
      </c>
      <c r="B67" s="10" t="s">
        <v>128</v>
      </c>
      <c r="C67" s="11" t="s">
        <v>285</v>
      </c>
      <c r="D67" s="10" t="s">
        <v>361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spans="1:22" ht="15" thickBot="1" x14ac:dyDescent="0.35">
      <c r="A68" s="8" t="s">
        <v>222</v>
      </c>
      <c r="B68" s="10" t="s">
        <v>129</v>
      </c>
      <c r="C68" s="11" t="s">
        <v>285</v>
      </c>
      <c r="D68" s="10" t="s">
        <v>362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spans="1:22" ht="15" thickBot="1" x14ac:dyDescent="0.35">
      <c r="A69" s="8" t="s">
        <v>223</v>
      </c>
      <c r="B69" s="10" t="s">
        <v>130</v>
      </c>
      <c r="C69" s="11" t="s">
        <v>285</v>
      </c>
      <c r="D69" s="10" t="s">
        <v>363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spans="1:22" ht="15" thickBot="1" x14ac:dyDescent="0.35">
      <c r="A70" s="8" t="s">
        <v>224</v>
      </c>
      <c r="B70" s="10" t="s">
        <v>131</v>
      </c>
      <c r="C70" s="11" t="s">
        <v>285</v>
      </c>
      <c r="D70" s="10" t="s">
        <v>364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1:22" ht="15" thickBot="1" x14ac:dyDescent="0.35">
      <c r="A71" s="8" t="s">
        <v>225</v>
      </c>
      <c r="B71" s="10" t="s">
        <v>132</v>
      </c>
      <c r="C71" s="11" t="s">
        <v>285</v>
      </c>
      <c r="D71" s="10" t="s">
        <v>365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spans="1:22" ht="15" thickBot="1" x14ac:dyDescent="0.35">
      <c r="A72" s="8" t="s">
        <v>226</v>
      </c>
      <c r="B72" s="10" t="s">
        <v>133</v>
      </c>
      <c r="C72" s="11" t="s">
        <v>285</v>
      </c>
      <c r="D72" s="10" t="s">
        <v>366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spans="1:22" ht="15" thickBot="1" x14ac:dyDescent="0.35">
      <c r="A73" s="8" t="s">
        <v>227</v>
      </c>
      <c r="B73" s="10" t="s">
        <v>134</v>
      </c>
      <c r="C73" s="11" t="s">
        <v>285</v>
      </c>
      <c r="D73" s="10" t="s">
        <v>367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spans="1:22" ht="15" thickBot="1" x14ac:dyDescent="0.35">
      <c r="A74" s="8" t="s">
        <v>228</v>
      </c>
      <c r="B74" s="10" t="s">
        <v>135</v>
      </c>
      <c r="C74" s="11" t="s">
        <v>285</v>
      </c>
      <c r="D74" s="10" t="s">
        <v>368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spans="1:22" ht="15" thickBot="1" x14ac:dyDescent="0.35">
      <c r="A75" s="8" t="s">
        <v>229</v>
      </c>
      <c r="B75" s="10" t="s">
        <v>136</v>
      </c>
      <c r="C75" s="11" t="s">
        <v>285</v>
      </c>
      <c r="D75" s="10" t="s">
        <v>369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spans="1:22" ht="15" thickBot="1" x14ac:dyDescent="0.35">
      <c r="A76" s="8" t="s">
        <v>230</v>
      </c>
      <c r="B76" s="10" t="s">
        <v>137</v>
      </c>
      <c r="C76" s="11" t="s">
        <v>285</v>
      </c>
      <c r="D76" s="10" t="s">
        <v>370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spans="1:22" ht="15" thickBot="1" x14ac:dyDescent="0.35">
      <c r="A77" s="8" t="s">
        <v>231</v>
      </c>
      <c r="B77" s="10" t="s">
        <v>138</v>
      </c>
      <c r="C77" s="11" t="s">
        <v>285</v>
      </c>
      <c r="D77" s="10" t="s">
        <v>371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spans="1:22" ht="15" thickBot="1" x14ac:dyDescent="0.35">
      <c r="A78" s="8" t="s">
        <v>232</v>
      </c>
      <c r="B78" s="10" t="s">
        <v>139</v>
      </c>
      <c r="C78" s="11" t="s">
        <v>285</v>
      </c>
      <c r="D78" s="10" t="s">
        <v>372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spans="1:22" ht="15" thickBot="1" x14ac:dyDescent="0.35">
      <c r="A79" s="8" t="s">
        <v>233</v>
      </c>
      <c r="B79" s="10" t="s">
        <v>140</v>
      </c>
      <c r="C79" s="11" t="s">
        <v>285</v>
      </c>
      <c r="D79" s="10" t="s">
        <v>373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spans="1:22" ht="15" thickBot="1" x14ac:dyDescent="0.35">
      <c r="A80" s="8" t="s">
        <v>234</v>
      </c>
      <c r="B80" s="10" t="s">
        <v>141</v>
      </c>
      <c r="C80" s="11" t="s">
        <v>284</v>
      </c>
      <c r="D80" s="10" t="s">
        <v>374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spans="1:22" ht="15" thickBot="1" x14ac:dyDescent="0.35">
      <c r="A81" s="8" t="s">
        <v>235</v>
      </c>
      <c r="B81" s="10" t="s">
        <v>142</v>
      </c>
      <c r="C81" s="11" t="s">
        <v>284</v>
      </c>
      <c r="D81" s="10" t="s">
        <v>375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spans="1:22" ht="15" thickBot="1" x14ac:dyDescent="0.35">
      <c r="A82" s="8" t="s">
        <v>236</v>
      </c>
      <c r="B82" s="10" t="s">
        <v>143</v>
      </c>
      <c r="C82" s="11" t="s">
        <v>284</v>
      </c>
      <c r="D82" s="10" t="s">
        <v>376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spans="1:22" ht="15" thickBot="1" x14ac:dyDescent="0.35">
      <c r="A83" s="8" t="s">
        <v>237</v>
      </c>
      <c r="B83" s="10" t="s">
        <v>144</v>
      </c>
      <c r="C83" s="11" t="s">
        <v>284</v>
      </c>
      <c r="D83" s="10" t="s">
        <v>377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spans="1:22" ht="15" thickBot="1" x14ac:dyDescent="0.35">
      <c r="A84" s="8" t="s">
        <v>238</v>
      </c>
      <c r="B84" s="10" t="s">
        <v>145</v>
      </c>
      <c r="C84" s="11" t="s">
        <v>284</v>
      </c>
      <c r="D84" s="10" t="s">
        <v>378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spans="1:22" ht="15" thickBot="1" x14ac:dyDescent="0.35">
      <c r="A85" s="8" t="s">
        <v>239</v>
      </c>
      <c r="B85" s="10" t="s">
        <v>146</v>
      </c>
      <c r="C85" s="11" t="s">
        <v>284</v>
      </c>
      <c r="D85" s="10" t="s">
        <v>379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spans="1:22" ht="15" thickBot="1" x14ac:dyDescent="0.35">
      <c r="A86" s="8" t="s">
        <v>240</v>
      </c>
      <c r="B86" s="10" t="s">
        <v>147</v>
      </c>
      <c r="C86" s="11" t="s">
        <v>284</v>
      </c>
      <c r="D86" s="10" t="s">
        <v>380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spans="1:22" ht="15" thickBot="1" x14ac:dyDescent="0.35">
      <c r="A87" s="8" t="s">
        <v>241</v>
      </c>
      <c r="B87" s="10" t="s">
        <v>148</v>
      </c>
      <c r="C87" s="11" t="s">
        <v>284</v>
      </c>
      <c r="D87" s="10" t="s">
        <v>381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spans="1:22" ht="15" thickBot="1" x14ac:dyDescent="0.35">
      <c r="A88" s="8" t="s">
        <v>242</v>
      </c>
      <c r="B88" s="10" t="s">
        <v>149</v>
      </c>
      <c r="C88" s="11" t="s">
        <v>284</v>
      </c>
      <c r="D88" s="10" t="s">
        <v>382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spans="1:22" ht="15" thickBot="1" x14ac:dyDescent="0.35">
      <c r="A89" s="8" t="s">
        <v>243</v>
      </c>
      <c r="B89" s="10" t="s">
        <v>150</v>
      </c>
      <c r="C89" s="11" t="s">
        <v>284</v>
      </c>
      <c r="D89" s="10" t="s">
        <v>383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spans="1:22" ht="15" thickBot="1" x14ac:dyDescent="0.35">
      <c r="A90" s="8" t="s">
        <v>244</v>
      </c>
      <c r="B90" s="10" t="s">
        <v>151</v>
      </c>
      <c r="C90" s="11" t="s">
        <v>284</v>
      </c>
      <c r="D90" s="10" t="s">
        <v>384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spans="1:22" ht="15" thickBot="1" x14ac:dyDescent="0.35">
      <c r="A91" s="8" t="s">
        <v>245</v>
      </c>
      <c r="B91" s="10" t="s">
        <v>152</v>
      </c>
      <c r="C91" s="11" t="s">
        <v>284</v>
      </c>
      <c r="D91" s="10" t="s">
        <v>385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1:22" ht="15" thickBot="1" x14ac:dyDescent="0.35">
      <c r="A92" s="8" t="s">
        <v>246</v>
      </c>
      <c r="B92" s="10" t="s">
        <v>153</v>
      </c>
      <c r="C92" s="11" t="s">
        <v>284</v>
      </c>
      <c r="D92" s="10" t="s">
        <v>386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spans="1:22" ht="15" thickBot="1" x14ac:dyDescent="0.35">
      <c r="A93" s="8" t="s">
        <v>247</v>
      </c>
      <c r="B93" s="10" t="s">
        <v>154</v>
      </c>
      <c r="C93" s="11" t="s">
        <v>284</v>
      </c>
      <c r="D93" s="10" t="s">
        <v>387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spans="1:22" ht="15" thickBot="1" x14ac:dyDescent="0.35">
      <c r="A94" s="8" t="s">
        <v>248</v>
      </c>
      <c r="B94" s="10" t="s">
        <v>155</v>
      </c>
      <c r="C94" s="11" t="s">
        <v>284</v>
      </c>
      <c r="D94" s="10" t="s">
        <v>388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spans="1:22" ht="15" thickBot="1" x14ac:dyDescent="0.35">
      <c r="A95" s="8" t="s">
        <v>249</v>
      </c>
      <c r="B95" s="10" t="s">
        <v>156</v>
      </c>
      <c r="C95" s="11" t="s">
        <v>284</v>
      </c>
      <c r="D95" s="10" t="s">
        <v>389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spans="1:22" ht="15" thickBot="1" x14ac:dyDescent="0.35">
      <c r="A96" s="8" t="s">
        <v>250</v>
      </c>
      <c r="B96" s="10" t="s">
        <v>157</v>
      </c>
      <c r="C96" s="11" t="s">
        <v>284</v>
      </c>
      <c r="D96" s="10" t="s">
        <v>390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spans="1:22" ht="15" thickBot="1" x14ac:dyDescent="0.35">
      <c r="A97" s="8" t="s">
        <v>251</v>
      </c>
      <c r="B97" s="10" t="s">
        <v>158</v>
      </c>
      <c r="C97" s="11" t="s">
        <v>283</v>
      </c>
      <c r="D97" s="10" t="s">
        <v>391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spans="1:22" ht="15" thickBot="1" x14ac:dyDescent="0.35">
      <c r="A98" s="8" t="s">
        <v>252</v>
      </c>
      <c r="B98" s="10" t="s">
        <v>159</v>
      </c>
      <c r="C98" s="11" t="s">
        <v>283</v>
      </c>
      <c r="D98" s="10" t="s">
        <v>392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spans="1:22" ht="15" thickBot="1" x14ac:dyDescent="0.35">
      <c r="A99" s="8" t="s">
        <v>253</v>
      </c>
      <c r="B99" s="10" t="s">
        <v>160</v>
      </c>
      <c r="C99" s="11" t="s">
        <v>283</v>
      </c>
      <c r="D99" s="10" t="s">
        <v>393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spans="1:22" ht="15" thickBot="1" x14ac:dyDescent="0.35">
      <c r="A100" s="8" t="s">
        <v>254</v>
      </c>
      <c r="B100" s="10" t="s">
        <v>161</v>
      </c>
      <c r="C100" s="11" t="s">
        <v>282</v>
      </c>
      <c r="D100" s="10" t="s">
        <v>397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spans="1:22" ht="15" thickBot="1" x14ac:dyDescent="0.35">
      <c r="A101" s="8" t="s">
        <v>255</v>
      </c>
      <c r="B101" s="10" t="s">
        <v>162</v>
      </c>
      <c r="C101" s="11" t="s">
        <v>282</v>
      </c>
      <c r="D101" s="10" t="s">
        <v>394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spans="1:22" ht="15" thickBot="1" x14ac:dyDescent="0.35">
      <c r="A102" s="8" t="s">
        <v>256</v>
      </c>
      <c r="B102" s="10" t="s">
        <v>163</v>
      </c>
      <c r="C102" s="11" t="s">
        <v>282</v>
      </c>
      <c r="D102" s="10" t="s">
        <v>395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spans="1:22" ht="15" thickBot="1" x14ac:dyDescent="0.35">
      <c r="A103" s="8" t="s">
        <v>257</v>
      </c>
      <c r="B103" s="10" t="s">
        <v>164</v>
      </c>
      <c r="C103" s="11" t="s">
        <v>282</v>
      </c>
      <c r="D103" s="10" t="s">
        <v>396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spans="1:22" ht="15" thickBot="1" x14ac:dyDescent="0.35">
      <c r="A104" s="8" t="s">
        <v>258</v>
      </c>
      <c r="B104" s="10" t="s">
        <v>165</v>
      </c>
      <c r="C104" s="11" t="s">
        <v>281</v>
      </c>
      <c r="D104" s="10" t="s">
        <v>398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spans="1:22" ht="15" thickBot="1" x14ac:dyDescent="0.35">
      <c r="A105" s="8" t="s">
        <v>259</v>
      </c>
      <c r="B105" s="10" t="s">
        <v>166</v>
      </c>
      <c r="C105" s="11" t="s">
        <v>281</v>
      </c>
      <c r="D105" s="10" t="s">
        <v>399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spans="1:22" ht="15" thickBot="1" x14ac:dyDescent="0.35">
      <c r="A106" s="8" t="s">
        <v>260</v>
      </c>
      <c r="B106" s="10" t="s">
        <v>167</v>
      </c>
      <c r="C106" s="11" t="s">
        <v>281</v>
      </c>
      <c r="D106" s="10" t="s">
        <v>400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spans="1:22" ht="15" thickBot="1" x14ac:dyDescent="0.35">
      <c r="A107" s="8" t="s">
        <v>261</v>
      </c>
      <c r="B107" s="10" t="s">
        <v>168</v>
      </c>
      <c r="C107" s="11" t="s">
        <v>281</v>
      </c>
      <c r="D107" s="10" t="s">
        <v>401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spans="1:22" ht="15" thickBot="1" x14ac:dyDescent="0.35">
      <c r="A108" s="8" t="s">
        <v>262</v>
      </c>
      <c r="B108" s="10" t="s">
        <v>169</v>
      </c>
      <c r="C108" s="11" t="s">
        <v>281</v>
      </c>
      <c r="D108" s="10" t="s">
        <v>402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spans="1:22" ht="15" thickBot="1" x14ac:dyDescent="0.35">
      <c r="A109" s="8" t="s">
        <v>263</v>
      </c>
      <c r="B109" s="10" t="s">
        <v>170</v>
      </c>
      <c r="C109" s="11" t="s">
        <v>281</v>
      </c>
      <c r="D109" s="10" t="s">
        <v>403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spans="1:22" ht="15" thickBot="1" x14ac:dyDescent="0.35">
      <c r="A110" s="8" t="s">
        <v>264</v>
      </c>
      <c r="B110" s="10" t="s">
        <v>171</v>
      </c>
      <c r="C110" s="11" t="s">
        <v>281</v>
      </c>
      <c r="D110" s="10" t="s">
        <v>404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spans="1:22" ht="15" thickBot="1" x14ac:dyDescent="0.35">
      <c r="A111" s="8" t="s">
        <v>265</v>
      </c>
      <c r="B111" s="10" t="s">
        <v>172</v>
      </c>
      <c r="C111" s="11" t="s">
        <v>281</v>
      </c>
      <c r="D111" s="10" t="s">
        <v>405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spans="1:22" ht="15" thickBot="1" x14ac:dyDescent="0.35">
      <c r="A112" s="8" t="s">
        <v>266</v>
      </c>
      <c r="B112" s="10" t="s">
        <v>173</v>
      </c>
      <c r="C112" s="11" t="s">
        <v>281</v>
      </c>
      <c r="D112" s="10" t="s">
        <v>406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spans="1:22" ht="15" thickBot="1" x14ac:dyDescent="0.35">
      <c r="A113" s="8" t="s">
        <v>267</v>
      </c>
      <c r="B113" s="10" t="s">
        <v>174</v>
      </c>
      <c r="C113" s="11" t="s">
        <v>281</v>
      </c>
      <c r="D113" s="10" t="s">
        <v>407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spans="1:22" ht="15" thickBot="1" x14ac:dyDescent="0.35">
      <c r="A114" s="8" t="s">
        <v>268</v>
      </c>
      <c r="B114" s="10" t="s">
        <v>175</v>
      </c>
      <c r="C114" s="11" t="s">
        <v>281</v>
      </c>
      <c r="D114" s="10" t="s">
        <v>408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spans="1:22" ht="15" thickBot="1" x14ac:dyDescent="0.35">
      <c r="A115" s="8" t="s">
        <v>269</v>
      </c>
      <c r="B115" s="10" t="s">
        <v>176</v>
      </c>
      <c r="C115" s="11" t="s">
        <v>280</v>
      </c>
      <c r="D115" s="10" t="s">
        <v>409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spans="1:22" ht="15" thickBot="1" x14ac:dyDescent="0.35">
      <c r="A116" s="8" t="s">
        <v>270</v>
      </c>
      <c r="B116" s="10" t="s">
        <v>177</v>
      </c>
      <c r="C116" s="11" t="s">
        <v>280</v>
      </c>
      <c r="D116" s="10" t="s">
        <v>410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spans="1:22" ht="15" thickBot="1" x14ac:dyDescent="0.35">
      <c r="A117" s="8" t="s">
        <v>271</v>
      </c>
      <c r="B117" s="10" t="s">
        <v>178</v>
      </c>
      <c r="C117" s="11" t="s">
        <v>280</v>
      </c>
      <c r="D117" s="10" t="s">
        <v>411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spans="1:22" ht="15" thickBot="1" x14ac:dyDescent="0.35">
      <c r="A118" s="8" t="s">
        <v>272</v>
      </c>
      <c r="B118" s="10" t="s">
        <v>179</v>
      </c>
      <c r="C118" s="11" t="s">
        <v>280</v>
      </c>
      <c r="D118" s="10" t="s">
        <v>412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spans="1:22" ht="15" thickBot="1" x14ac:dyDescent="0.35">
      <c r="A119" s="8" t="s">
        <v>273</v>
      </c>
      <c r="B119" s="10" t="s">
        <v>180</v>
      </c>
      <c r="C119" s="11" t="s">
        <v>280</v>
      </c>
      <c r="D119" s="10" t="s">
        <v>413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spans="1:22" ht="15" thickBot="1" x14ac:dyDescent="0.35">
      <c r="A120" s="8" t="s">
        <v>274</v>
      </c>
      <c r="B120" s="10" t="s">
        <v>181</v>
      </c>
      <c r="C120" s="11" t="s">
        <v>280</v>
      </c>
      <c r="D120" s="10" t="s">
        <v>414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spans="1:22" ht="15" thickBot="1" x14ac:dyDescent="0.35">
      <c r="A121" s="8" t="s">
        <v>275</v>
      </c>
      <c r="B121" s="10" t="s">
        <v>182</v>
      </c>
      <c r="C121" s="11" t="s">
        <v>280</v>
      </c>
      <c r="D121" s="10" t="s">
        <v>415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spans="1:22" ht="15" thickBot="1" x14ac:dyDescent="0.35">
      <c r="A122" s="8" t="s">
        <v>276</v>
      </c>
      <c r="B122" s="10" t="s">
        <v>183</v>
      </c>
      <c r="C122" s="11" t="s">
        <v>280</v>
      </c>
      <c r="D122" s="10" t="s">
        <v>416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spans="1:22" ht="15" thickBot="1" x14ac:dyDescent="0.35">
      <c r="A123" s="8" t="s">
        <v>277</v>
      </c>
      <c r="B123" s="10" t="s">
        <v>184</v>
      </c>
      <c r="C123" s="11" t="s">
        <v>280</v>
      </c>
      <c r="D123" s="10" t="s">
        <v>417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spans="1:22" ht="15" thickBot="1" x14ac:dyDescent="0.35">
      <c r="A124" s="8" t="s">
        <v>278</v>
      </c>
      <c r="B124" s="10" t="s">
        <v>185</v>
      </c>
      <c r="C124" s="11" t="s">
        <v>280</v>
      </c>
      <c r="D124" s="10" t="s">
        <v>418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 spans="1:22" ht="15" thickBot="1" x14ac:dyDescent="0.35">
      <c r="A125" s="8" t="s">
        <v>279</v>
      </c>
      <c r="B125" s="10" t="s">
        <v>186</v>
      </c>
      <c r="C125" s="11" t="s">
        <v>280</v>
      </c>
      <c r="D125" s="10" t="s">
        <v>419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spans="1:22" ht="15" thickBot="1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 spans="1:22" ht="15" thickBot="1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 spans="1:22" ht="15" thickBot="1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 spans="1:22" ht="15" thickBot="1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 spans="1:22" ht="15" thickBot="1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spans="1:22" ht="15" thickBot="1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spans="1:22" ht="15" thickBot="1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spans="1:22" ht="15" thickBot="1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spans="1:22" ht="15" thickBot="1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spans="1:22" ht="15" thickBot="1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spans="1:22" ht="15" thickBot="1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spans="1:22" ht="15" thickBot="1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spans="1:22" ht="15" thickBot="1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spans="1:22" ht="15" thickBot="1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spans="1:22" ht="15" thickBot="1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spans="1:22" ht="15" thickBot="1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spans="1:22" ht="15" thickBot="1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spans="1:22" ht="15" thickBot="1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spans="1:22" ht="15" thickBot="1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spans="1:22" ht="15" thickBot="1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 spans="1:22" ht="15" thickBot="1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spans="1:22" ht="15" thickBot="1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spans="1:22" ht="15" thickBot="1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spans="1:22" ht="15" thickBot="1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spans="1:22" ht="15" thickBot="1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spans="1:22" ht="15" thickBot="1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spans="1:22" ht="15" thickBot="1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spans="1:22" ht="15" thickBot="1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 spans="1:22" ht="15" thickBot="1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 spans="1:22" ht="15" thickBot="1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spans="1:22" ht="15" thickBot="1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spans="1:22" ht="15" thickBot="1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 spans="1:22" ht="15" thickBot="1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 spans="1:22" ht="15" thickBot="1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 spans="1:22" ht="15" thickBot="1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 spans="1:22" ht="15" thickBot="1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 spans="1:22" ht="15" thickBot="1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 spans="1:22" ht="15" thickBot="1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 spans="1:22" ht="15" thickBot="1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 spans="1:22" ht="15" thickBot="1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 spans="1:22" ht="15" thickBot="1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 spans="1:22" ht="15" thickBot="1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 spans="1:22" ht="15" thickBot="1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 spans="1:22" ht="15" thickBot="1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 spans="1:22" ht="15" thickBot="1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 spans="1:22" ht="15" thickBot="1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 spans="1:22" ht="15" thickBot="1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 spans="1:22" ht="15" thickBot="1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 spans="1:22" ht="15" thickBot="1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 spans="1:22" ht="15" thickBot="1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 spans="1:22" ht="15" thickBot="1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spans="1:22" ht="15" thickBot="1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 spans="1:22" ht="15" thickBot="1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 spans="1:22" ht="15" thickBot="1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 spans="1:22" ht="15" thickBot="1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 spans="1:22" ht="15" thickBot="1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 spans="1:22" ht="15" thickBot="1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 spans="1:22" ht="15" thickBot="1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 spans="1:22" ht="15" thickBot="1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 spans="1:22" ht="15" thickBot="1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 spans="1:22" ht="15" thickBot="1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 spans="1:22" ht="15" thickBot="1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 spans="1:22" ht="15" thickBot="1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 spans="1:22" ht="15" thickBot="1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 spans="1:22" ht="15" thickBot="1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 spans="1:22" ht="15" thickBot="1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 spans="1:22" ht="15" thickBot="1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 spans="1:22" ht="15" thickBot="1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 spans="1:22" ht="15" thickBot="1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 spans="1:22" ht="15" thickBot="1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 spans="1:22" ht="15" thickBot="1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 spans="1:22" ht="15" thickBot="1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 spans="1:22" ht="15" thickBot="1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 spans="1:22" ht="15" thickBot="1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 spans="1:22" ht="15" thickBot="1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 spans="1:22" ht="15" thickBot="1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 spans="1:22" ht="15" thickBot="1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</row>
    <row r="203" spans="1:22" ht="15" thickBot="1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 spans="1:22" ht="15" thickBot="1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 spans="1:22" ht="15" thickBot="1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 spans="1:22" ht="15" thickBot="1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 spans="1:22" ht="15" thickBot="1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</row>
    <row r="208" spans="1:22" ht="15" thickBot="1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</row>
    <row r="209" spans="1:22" ht="15" thickBot="1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</row>
    <row r="210" spans="1:22" ht="15" thickBot="1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</row>
    <row r="211" spans="1:22" ht="15" thickBot="1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</row>
    <row r="212" spans="1:22" ht="15" thickBot="1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 spans="1:22" ht="15" thickBot="1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 spans="1:22" ht="15" thickBot="1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</row>
    <row r="215" spans="1:22" ht="15" thickBot="1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 spans="1:22" ht="15" thickBot="1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</row>
    <row r="217" spans="1:22" ht="15" thickBot="1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 spans="1:22" ht="15" thickBot="1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 spans="1:22" ht="15" thickBot="1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 spans="1:22" ht="15" thickBot="1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</row>
    <row r="221" spans="1:22" ht="15" thickBot="1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 spans="1:22" ht="15" thickBot="1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</row>
    <row r="223" spans="1:22" ht="15" thickBot="1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</row>
    <row r="224" spans="1:22" ht="15" thickBot="1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</row>
    <row r="225" spans="1:22" ht="15" thickBot="1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 spans="1:22" ht="15" thickBot="1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</row>
    <row r="227" spans="1:22" ht="15" thickBot="1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</row>
    <row r="228" spans="1:22" ht="15" thickBot="1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</row>
    <row r="229" spans="1:22" ht="15" thickBot="1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</row>
    <row r="230" spans="1:22" ht="15" thickBot="1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</row>
    <row r="231" spans="1:22" ht="15" thickBot="1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 spans="1:22" ht="15" thickBot="1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 spans="1:22" ht="15" thickBot="1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</row>
    <row r="234" spans="1:22" ht="15" thickBot="1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</row>
    <row r="235" spans="1:22" ht="15" thickBot="1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</row>
    <row r="236" spans="1:22" ht="15" thickBot="1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</row>
    <row r="237" spans="1:22" ht="15" thickBot="1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 spans="1:22" ht="15" thickBot="1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 spans="1:22" ht="15" thickBot="1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 spans="1:22" ht="15" thickBot="1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 spans="1:22" ht="15" thickBot="1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 spans="1:22" ht="15" thickBot="1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 spans="1:22" ht="15" thickBot="1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 spans="1:22" ht="15" thickBot="1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</row>
    <row r="245" spans="1:22" ht="15" thickBot="1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 spans="1:22" ht="15" thickBot="1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 spans="1:22" ht="15" thickBot="1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 spans="1:22" ht="15" thickBot="1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 spans="1:22" ht="15" thickBot="1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 spans="1:22" ht="15" thickBot="1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 spans="1:22" ht="15" thickBot="1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 spans="1:22" ht="15" thickBot="1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 spans="1:22" ht="15" thickBot="1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</row>
    <row r="254" spans="1:22" ht="15" thickBot="1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</row>
    <row r="255" spans="1:22" ht="15" thickBot="1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</row>
    <row r="256" spans="1:22" ht="15" thickBot="1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</row>
    <row r="257" spans="1:22" ht="15" thickBot="1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</row>
    <row r="258" spans="1:22" ht="15" thickBot="1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</row>
    <row r="259" spans="1:22" ht="15" thickBot="1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 spans="1:22" ht="15" thickBot="1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 spans="1:22" ht="15" thickBot="1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</row>
    <row r="262" spans="1:22" ht="15" thickBot="1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</row>
    <row r="263" spans="1:22" ht="15" thickBot="1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</row>
    <row r="264" spans="1:22" ht="15" thickBot="1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</row>
    <row r="265" spans="1:22" ht="15" thickBot="1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</row>
    <row r="266" spans="1:22" ht="15" thickBot="1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 spans="1:22" ht="15" thickBot="1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 spans="1:22" ht="15" thickBot="1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</row>
    <row r="269" spans="1:22" ht="15" thickBot="1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 spans="1:22" ht="15" thickBot="1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</row>
    <row r="271" spans="1:22" ht="15" thickBot="1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</row>
    <row r="272" spans="1:22" ht="15" thickBot="1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</row>
    <row r="273" spans="1:22" ht="15" thickBot="1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 spans="1:22" ht="15" thickBot="1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 spans="1:22" ht="15" thickBot="1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76" spans="1:22" ht="15" thickBot="1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</row>
    <row r="277" spans="1:22" ht="15" thickBot="1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</row>
    <row r="278" spans="1:22" ht="15" thickBot="1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 spans="1:22" ht="15" thickBot="1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</row>
    <row r="280" spans="1:22" ht="15" thickBot="1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</row>
    <row r="281" spans="1:22" ht="15" thickBot="1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</row>
    <row r="282" spans="1:22" ht="15" thickBot="1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</row>
    <row r="283" spans="1:22" ht="15" thickBot="1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</row>
    <row r="284" spans="1:22" ht="15" thickBot="1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</row>
    <row r="285" spans="1:22" ht="15" thickBot="1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</row>
    <row r="286" spans="1:22" ht="15" thickBot="1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</row>
    <row r="287" spans="1:22" ht="15" thickBot="1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</row>
    <row r="288" spans="1:22" ht="15" thickBot="1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 spans="1:22" ht="15" thickBot="1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</row>
    <row r="290" spans="1:22" ht="15" thickBot="1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</row>
    <row r="291" spans="1:22" ht="15" thickBot="1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</row>
    <row r="292" spans="1:22" ht="15" thickBot="1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 spans="1:22" ht="15" thickBot="1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</row>
    <row r="294" spans="1:22" ht="15" thickBot="1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</row>
    <row r="295" spans="1:22" ht="15" thickBot="1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</row>
    <row r="296" spans="1:22" ht="15" thickBot="1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</row>
    <row r="297" spans="1:22" ht="15" thickBot="1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 spans="1:22" ht="15" thickBot="1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</row>
    <row r="299" spans="1:22" ht="15" thickBot="1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</row>
    <row r="300" spans="1:22" ht="15" thickBot="1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</row>
    <row r="301" spans="1:22" ht="15" thickBot="1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</row>
    <row r="302" spans="1:22" ht="15" thickBot="1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 spans="1:22" ht="15" thickBot="1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</row>
    <row r="304" spans="1:22" ht="15" thickBot="1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</row>
    <row r="305" spans="1:22" ht="15" thickBot="1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 spans="1:22" ht="15" thickBot="1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 spans="1:22" ht="15" thickBot="1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</row>
    <row r="308" spans="1:22" ht="15" thickBot="1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</row>
    <row r="309" spans="1:22" ht="15" thickBot="1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</row>
    <row r="310" spans="1:22" ht="15" thickBot="1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</row>
    <row r="311" spans="1:22" ht="15" thickBot="1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</row>
    <row r="312" spans="1:22" ht="15" thickBot="1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 spans="1:22" ht="15" thickBot="1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</row>
    <row r="314" spans="1:22" ht="15" thickBot="1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 spans="1:22" ht="15" thickBot="1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</row>
    <row r="316" spans="1:22" ht="15" thickBot="1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 spans="1:22" ht="15" thickBot="1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</row>
    <row r="318" spans="1:22" ht="15" thickBot="1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 spans="1:22" ht="15" thickBot="1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</row>
    <row r="320" spans="1:22" ht="15" thickBot="1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</row>
    <row r="321" spans="1:22" ht="15" thickBot="1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</row>
    <row r="322" spans="1:22" ht="15" thickBot="1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</row>
    <row r="323" spans="1:22" ht="15" thickBot="1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 spans="1:22" ht="15" thickBot="1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 spans="1:22" ht="15" thickBot="1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 spans="1:22" ht="15" thickBot="1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</row>
    <row r="327" spans="1:22" ht="15" thickBot="1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 spans="1:22" ht="15" thickBot="1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 spans="1:22" ht="15" thickBot="1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</row>
    <row r="330" spans="1:22" ht="15" thickBot="1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 spans="1:22" ht="15" thickBot="1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 spans="1:22" ht="15" thickBot="1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 spans="1:22" ht="15" thickBot="1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 spans="1:22" ht="15" thickBot="1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 spans="1:22" ht="15" thickBot="1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</row>
    <row r="336" spans="1:22" ht="15" thickBot="1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 spans="1:22" ht="15" thickBot="1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 spans="1:22" ht="15" thickBot="1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</row>
    <row r="339" spans="1:22" ht="15" thickBot="1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 spans="1:22" ht="15" thickBot="1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 spans="1:22" ht="15" thickBot="1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 spans="1:22" ht="15" thickBot="1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 spans="1:22" ht="15" thickBot="1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 spans="1:22" ht="15" thickBot="1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 spans="1:22" ht="15" thickBot="1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 spans="1:22" ht="15" thickBot="1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</row>
    <row r="347" spans="1:22" ht="15" thickBot="1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 spans="1:22" ht="15" thickBot="1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 spans="1:22" ht="15" thickBot="1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 spans="1:22" ht="15" thickBot="1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 spans="1:22" ht="15" thickBot="1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 spans="1:22" ht="15" thickBot="1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</row>
    <row r="353" spans="1:22" ht="15" thickBot="1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</row>
    <row r="354" spans="1:22" ht="15" thickBot="1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 spans="1:22" ht="15" thickBot="1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 spans="1:22" ht="15" thickBot="1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 spans="1:22" ht="15" thickBot="1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 spans="1:22" ht="15" thickBot="1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 spans="1:22" ht="15" thickBot="1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 spans="1:22" ht="15" thickBot="1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 spans="1:22" ht="15" thickBot="1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 spans="1:22" ht="15" thickBot="1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 spans="1:22" ht="15" thickBot="1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 spans="1:22" ht="15" thickBot="1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 spans="1:22" ht="15" thickBot="1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 spans="1:22" ht="15" thickBot="1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 spans="1:22" ht="15" thickBot="1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 spans="1:22" ht="15" thickBot="1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 spans="1:22" ht="15" thickBot="1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 spans="1:22" ht="15" thickBot="1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 spans="1:22" ht="15" thickBot="1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 spans="1:22" ht="15" thickBot="1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 spans="1:22" ht="15" thickBot="1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 spans="1:22" ht="15" thickBot="1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 spans="1:22" ht="15" thickBot="1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 spans="1:22" ht="15" thickBot="1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 spans="1:22" ht="15" thickBot="1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 spans="1:22" ht="15" thickBot="1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 spans="1:22" ht="15" thickBot="1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 spans="1:22" ht="15" thickBot="1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 spans="1:22" ht="15" thickBot="1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 spans="1:22" ht="15" thickBot="1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 spans="1:22" ht="15" thickBot="1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 spans="1:22" ht="15" thickBot="1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 spans="1:22" ht="15" thickBot="1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 spans="1:22" ht="15" thickBot="1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 spans="1:22" ht="15" thickBot="1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 spans="1:22" ht="15" thickBot="1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 spans="1:22" ht="15" thickBot="1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 spans="1:22" ht="15" thickBot="1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 spans="1:22" ht="15" thickBot="1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 spans="1:22" ht="15" thickBot="1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 spans="1:22" ht="15" thickBot="1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 spans="1:22" ht="15" thickBot="1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 spans="1:22" ht="15" thickBot="1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 spans="1:22" ht="15" thickBot="1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 spans="1:22" ht="15" thickBot="1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 spans="1:22" ht="15" thickBot="1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 spans="1:22" ht="15" thickBot="1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 spans="1:22" ht="15" thickBot="1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 spans="1:22" ht="15" thickBot="1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 spans="1:22" ht="15" thickBot="1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 spans="1:22" ht="15" thickBot="1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 spans="1:22" ht="15" thickBot="1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 spans="1:22" ht="15" thickBot="1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 spans="1:22" ht="15" thickBot="1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 spans="1:22" ht="15" thickBot="1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 spans="1:22" ht="15" thickBot="1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 spans="1:22" ht="15" thickBot="1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 spans="1:22" ht="15" thickBot="1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 spans="1:22" ht="15" thickBot="1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 spans="1:22" ht="15" thickBot="1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 spans="1:22" ht="15" thickBot="1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 spans="1:22" ht="15" thickBot="1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 spans="1:22" ht="15" thickBot="1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 spans="1:22" ht="15" thickBot="1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 spans="1:22" ht="15" thickBot="1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 spans="1:22" ht="15" thickBot="1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 spans="1:22" ht="15" thickBot="1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 spans="1:22" ht="15" thickBot="1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 spans="1:22" ht="15" thickBot="1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 spans="1:22" ht="15" thickBot="1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 spans="1:22" ht="15" thickBot="1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 spans="1:22" ht="15" thickBot="1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 spans="1:22" ht="15" thickBot="1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 spans="1:22" ht="15" thickBot="1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 spans="1:22" ht="15" thickBot="1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 spans="1:22" ht="15" thickBot="1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 spans="1:22" ht="15" thickBot="1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 spans="1:22" ht="15" thickBot="1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 spans="1:22" ht="15" thickBot="1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 spans="1:22" ht="15" thickBot="1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 spans="1:22" ht="15" thickBot="1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 spans="1:22" ht="15" thickBot="1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 spans="1:22" ht="15" thickBot="1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 spans="1:22" ht="15" thickBot="1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 spans="1:22" ht="15" thickBot="1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 spans="1:22" ht="15" thickBot="1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 spans="1:22" ht="15" thickBot="1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 spans="1:22" ht="15" thickBot="1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 spans="1:22" ht="15" thickBot="1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 spans="1:22" ht="15" thickBot="1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 spans="1:22" ht="15" thickBot="1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 spans="1:22" ht="15" thickBot="1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 spans="1:22" ht="15" thickBot="1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 spans="1:22" ht="15" thickBot="1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 spans="1:22" ht="15" thickBot="1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 spans="1:22" ht="15" thickBot="1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 spans="1:22" ht="15" thickBot="1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 spans="1:22" ht="15" thickBot="1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 spans="1:22" ht="15" thickBot="1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 spans="1:22" ht="15" thickBot="1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 spans="1:22" ht="15" thickBot="1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 spans="1:22" ht="15" thickBot="1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 spans="1:22" ht="15" thickBot="1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 spans="1:22" ht="15" thickBot="1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 spans="1:22" ht="15" thickBot="1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 spans="1:22" ht="15" thickBot="1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 spans="1:22" ht="15" thickBot="1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 spans="1:22" ht="15" thickBot="1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 spans="1:22" ht="15" thickBot="1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 spans="1:22" ht="15" thickBot="1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 spans="1:22" ht="15" thickBot="1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 spans="1:22" ht="15" thickBot="1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 spans="1:22" ht="15" thickBot="1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 spans="1:22" ht="15" thickBot="1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 spans="1:22" ht="15" thickBot="1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 spans="1:22" ht="15" thickBot="1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 spans="1:22" ht="15" thickBot="1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 spans="1:22" ht="15" thickBot="1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 spans="1:22" ht="15" thickBot="1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 spans="1:22" ht="15" thickBot="1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 spans="1:22" ht="15" thickBot="1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 spans="1:22" ht="15" thickBot="1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 spans="1:22" ht="15" thickBot="1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 spans="1:22" ht="15" thickBot="1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 spans="1:22" ht="15" thickBot="1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 spans="1:22" ht="15" thickBot="1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 spans="1:22" ht="15" thickBot="1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 spans="1:22" ht="15" thickBot="1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 spans="1:22" ht="15" thickBot="1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 spans="1:22" ht="15" thickBot="1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 spans="1:22" ht="15" thickBot="1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 spans="1:22" ht="15" thickBot="1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 spans="1:22" ht="15" thickBot="1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 spans="1:22" ht="15" thickBot="1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 spans="1:22" ht="15" thickBot="1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 spans="1:22" ht="15" thickBot="1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 spans="1:22" ht="15" thickBot="1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 spans="1:22" ht="15" thickBot="1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 spans="1:22" ht="15" thickBot="1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 spans="1:22" ht="15" thickBot="1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 spans="1:22" ht="15" thickBot="1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 spans="1:22" ht="15" thickBot="1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 spans="1:22" ht="15" thickBot="1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 spans="1:22" ht="15" thickBot="1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 spans="1:22" ht="15" thickBot="1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 spans="1:22" ht="15" thickBot="1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 spans="1:22" ht="15" thickBot="1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 spans="1:22" ht="15" thickBot="1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 spans="1:22" ht="15" thickBot="1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 spans="1:22" ht="15" thickBot="1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 spans="1:22" ht="15" thickBot="1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 spans="1:22" ht="15" thickBot="1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 spans="1:22" ht="15" thickBot="1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 spans="1:22" ht="15" thickBot="1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 spans="1:22" ht="15" thickBot="1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 spans="1:22" ht="15" thickBot="1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 spans="1:22" ht="15" thickBot="1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 spans="1:22" ht="15" thickBot="1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 spans="1:22" ht="15" thickBot="1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 spans="1:22" ht="15" thickBot="1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 spans="1:22" ht="15" thickBot="1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 spans="1:22" ht="15" thickBot="1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 spans="1:22" ht="15" thickBot="1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 spans="1:22" ht="15" thickBot="1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 spans="1:22" ht="15" thickBot="1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 spans="1:22" ht="15" thickBot="1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 spans="1:22" ht="15" thickBot="1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 spans="1:22" ht="15" thickBot="1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 spans="1:22" ht="15" thickBot="1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 spans="1:22" ht="15" thickBot="1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 spans="1:22" ht="15" thickBot="1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 spans="1:22" ht="15" thickBot="1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 spans="1:22" ht="15" thickBot="1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 spans="1:22" ht="15" thickBot="1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 spans="1:22" ht="15" thickBot="1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 spans="1:22" ht="15" thickBot="1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 spans="1:22" ht="15" thickBot="1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 spans="1:22" ht="15" thickBot="1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 spans="1:22" ht="15" thickBot="1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 spans="1:22" ht="15" thickBot="1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 spans="1:22" ht="15" thickBot="1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 spans="1:22" ht="15" thickBot="1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 spans="1:22" ht="15" thickBot="1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 spans="1:22" ht="15" thickBot="1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 spans="1:22" ht="15" thickBot="1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 spans="1:22" ht="15" thickBot="1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 spans="1:22" ht="15" thickBot="1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 spans="1:22" ht="15" thickBot="1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 spans="1:22" ht="15" thickBot="1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 spans="1:22" ht="15" thickBot="1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 spans="1:22" ht="15" thickBot="1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 spans="1:22" ht="15" thickBot="1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 spans="1:22" ht="15" thickBot="1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 spans="1:22" ht="15" thickBot="1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 spans="1:22" ht="15" thickBot="1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 spans="1:22" ht="15" thickBot="1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 spans="1:22" ht="15" thickBot="1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 spans="1:22" ht="15" thickBot="1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 spans="1:22" ht="15" thickBot="1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 spans="1:22" ht="15" thickBot="1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 spans="1:22" ht="15" thickBot="1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 spans="1:22" ht="15" thickBot="1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 spans="1:22" ht="15" thickBot="1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 spans="1:22" ht="15" thickBot="1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 spans="1:22" ht="15" thickBot="1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 spans="1:22" ht="15" thickBot="1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 spans="1:22" ht="15" thickBot="1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 spans="1:22" ht="15" thickBot="1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 spans="1:22" ht="15" thickBot="1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 spans="1:22" ht="15" thickBot="1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 spans="1:22" ht="15" thickBot="1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 spans="1:22" ht="15" thickBot="1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 spans="1:22" ht="15" thickBot="1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 spans="1:22" ht="15" thickBot="1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 spans="1:22" ht="15" thickBot="1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 spans="1:22" ht="15" thickBot="1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 spans="1:22" ht="15" thickBot="1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 spans="1:22" ht="15" thickBot="1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 spans="1:22" ht="15" thickBot="1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 spans="1:22" ht="15" thickBot="1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 spans="1:22" ht="15" thickBot="1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 spans="1:22" ht="15" thickBot="1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 spans="1:22" ht="15" thickBot="1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 spans="1:22" ht="15" thickBot="1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 spans="1:22" ht="15" thickBot="1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 spans="1:22" ht="15" thickBot="1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 spans="1:22" ht="15" thickBot="1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 spans="1:22" ht="15" thickBot="1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 spans="1:22" ht="15" thickBot="1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 spans="1:22" ht="15" thickBot="1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 spans="1:22" ht="15" thickBot="1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 spans="1:22" ht="15" thickBot="1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 spans="1:22" ht="15" thickBot="1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 spans="1:22" ht="15" thickBot="1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 spans="1:22" ht="15" thickBot="1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 spans="1:22" ht="15" thickBot="1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 spans="1:22" ht="15" thickBot="1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 spans="1:22" ht="15" thickBot="1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 spans="1:22" ht="15" thickBot="1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 spans="1:22" ht="15" thickBot="1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 spans="1:22" ht="15" thickBot="1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 spans="1:22" ht="15" thickBot="1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 spans="1:22" ht="15" thickBot="1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 spans="1:22" ht="15" thickBot="1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 spans="1:22" ht="15" thickBot="1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 spans="1:22" ht="15" thickBot="1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 spans="1:22" ht="15" thickBot="1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 spans="1:22" ht="15" thickBot="1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 spans="1:22" ht="15" thickBot="1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 spans="1:22" ht="15" thickBot="1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 spans="1:22" ht="15" thickBot="1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 spans="1:22" ht="15" thickBot="1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 spans="1:22" ht="15" thickBot="1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 spans="1:22" ht="15" thickBot="1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 spans="1:22" ht="15" thickBot="1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 spans="1:22" ht="15" thickBot="1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 spans="1:22" ht="15" thickBot="1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 spans="1:22" ht="15" thickBot="1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 spans="1:22" ht="15" thickBot="1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 spans="1:22" ht="15" thickBot="1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 spans="1:22" ht="15" thickBot="1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 spans="1:22" ht="15" thickBot="1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 spans="1:22" ht="15" thickBot="1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 spans="1:22" ht="15" thickBot="1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 spans="1:22" ht="15" thickBot="1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 spans="1:22" ht="15" thickBot="1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 spans="1:22" ht="15" thickBot="1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 spans="1:22" ht="15" thickBot="1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 spans="1:22" ht="15" thickBot="1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 spans="1:22" ht="15" thickBot="1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 spans="1:22" ht="15" thickBot="1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 spans="1:22" ht="15" thickBot="1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 spans="1:22" ht="15" thickBot="1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 spans="1:22" ht="15" thickBot="1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 spans="1:22" ht="15" thickBot="1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 spans="1:22" ht="15" thickBot="1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 spans="1:22" ht="15" thickBot="1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 spans="1:22" ht="15" thickBot="1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 spans="1:22" ht="15" thickBot="1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 spans="1:22" ht="15" thickBot="1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 spans="1:22" ht="15" thickBot="1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 spans="1:22" ht="15" thickBot="1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 spans="1:22" ht="15" thickBot="1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 spans="1:22" ht="15" thickBot="1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 spans="1:22" ht="15" thickBot="1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 spans="1:22" ht="15" thickBot="1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 spans="1:22" ht="15" thickBot="1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 spans="1:22" ht="15" thickBot="1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 spans="1:22" ht="15" thickBot="1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 spans="1:22" ht="15" thickBot="1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 spans="1:22" ht="15" thickBot="1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 spans="1:22" ht="15" thickBot="1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 spans="1:22" ht="15" thickBot="1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 spans="1:22" ht="15" thickBot="1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 spans="1:22" ht="15" thickBot="1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 spans="1:22" ht="15" thickBot="1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 spans="1:22" ht="15" thickBot="1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 spans="1:22" ht="15" thickBot="1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 spans="1:22" ht="15" thickBot="1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 spans="1:22" ht="15" thickBot="1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 spans="1:22" ht="15" thickBot="1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 spans="1:22" ht="15" thickBot="1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 spans="1:22" ht="15" thickBot="1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 spans="1:22" ht="15" thickBot="1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 spans="1:22" ht="15" thickBot="1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 spans="1:22" ht="15" thickBot="1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 spans="1:22" ht="15" thickBot="1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 spans="1:22" ht="15" thickBot="1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 spans="1:22" ht="15" thickBot="1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 spans="1:22" ht="15" thickBot="1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 spans="1:22" ht="15" thickBot="1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 spans="1:22" ht="15" thickBot="1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 spans="1:22" ht="15" thickBot="1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 spans="1:22" ht="15" thickBot="1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 spans="1:22" ht="15" thickBot="1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 spans="1:22" ht="15" thickBot="1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 spans="1:22" ht="15" thickBot="1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 spans="1:22" ht="15" thickBot="1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 spans="1:22" ht="15" thickBot="1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 spans="1:22" ht="15" thickBot="1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 spans="1:22" ht="15" thickBot="1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 spans="1:22" ht="15" thickBot="1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 spans="1:22" ht="15" thickBot="1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 spans="1:22" ht="15" thickBot="1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 spans="1:22" ht="15" thickBot="1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 spans="1:22" ht="15" thickBot="1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 spans="1:22" ht="15" thickBot="1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 spans="1:22" ht="15" thickBot="1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 spans="1:22" ht="15" thickBot="1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 spans="1:22" ht="15" thickBot="1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 spans="1:22" ht="15" thickBot="1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 spans="1:22" ht="15" thickBot="1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 spans="1:22" ht="15" thickBot="1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 spans="1:22" ht="15" thickBot="1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 spans="1:22" ht="15" thickBot="1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 spans="1:22" ht="15" thickBot="1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 spans="1:22" ht="15" thickBot="1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 spans="1:22" ht="15" thickBot="1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 spans="1:22" ht="15" thickBot="1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 spans="1:22" ht="15" thickBot="1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 spans="1:22" ht="15" thickBot="1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 spans="1:22" ht="15" thickBot="1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 spans="1:22" ht="15" thickBot="1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 spans="1:22" ht="15" thickBot="1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 spans="1:22" ht="15" thickBot="1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 spans="1:22" ht="15" thickBot="1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 spans="1:22" ht="15" thickBot="1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 spans="1:22" ht="15" thickBot="1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 spans="1:22" ht="15" thickBot="1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 spans="1:22" ht="15" thickBot="1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 spans="1:22" ht="15" thickBot="1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 spans="1:22" ht="15" thickBot="1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 spans="1:22" ht="15" thickBot="1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 spans="1:22" ht="15" thickBot="1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 spans="1:22" ht="15" thickBot="1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 spans="1:22" ht="15" thickBot="1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 spans="1:22" ht="15" thickBot="1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 spans="1:22" ht="15" thickBot="1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 spans="1:22" ht="15" thickBot="1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 spans="1:22" ht="15" thickBot="1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 spans="1:22" ht="15" thickBot="1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 spans="1:22" ht="15" thickBot="1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 spans="1:22" ht="15" thickBot="1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 spans="1:22" ht="15" thickBot="1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 spans="1:22" ht="15" thickBot="1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 spans="1:22" ht="15" thickBot="1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 spans="1:22" ht="15" thickBot="1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 spans="1:22" ht="15" thickBot="1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 spans="1:22" ht="15" thickBot="1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 spans="1:22" ht="15" thickBot="1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 spans="1:22" ht="15" thickBot="1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 spans="1:22" ht="15" thickBot="1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 spans="1:22" ht="15" thickBot="1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 spans="1:22" ht="15" thickBot="1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 spans="1:22" ht="15" thickBot="1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 spans="1:22" ht="15" thickBot="1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 spans="1:22" ht="15" thickBot="1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 spans="1:22" ht="15" thickBot="1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 spans="1:22" ht="15" thickBot="1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 spans="1:22" ht="15" thickBot="1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 spans="1:22" ht="15" thickBot="1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 spans="1:22" ht="15" thickBot="1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 spans="1:22" ht="15" thickBot="1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 spans="1:22" ht="15" thickBot="1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 spans="1:22" ht="15" thickBot="1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 spans="1:22" ht="15" thickBot="1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 spans="1:22" ht="15" thickBot="1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 spans="1:22" ht="15" thickBot="1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 spans="1:22" ht="15" thickBot="1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 spans="1:22" ht="15" thickBot="1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 spans="1:22" ht="15" thickBot="1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 spans="1:22" ht="15" thickBot="1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 spans="1:22" ht="15" thickBot="1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 spans="1:22" ht="15" thickBot="1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 spans="1:22" ht="15" thickBot="1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 spans="1:22" ht="15" thickBot="1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 spans="1:22" ht="15" thickBot="1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 spans="1:22" ht="15" thickBot="1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 spans="1:22" ht="15" thickBot="1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 spans="1:22" ht="15" thickBot="1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 spans="1:22" ht="15" thickBot="1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 spans="1:22" ht="15" thickBot="1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 spans="1:22" ht="15" thickBot="1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 spans="1:22" ht="15" thickBot="1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 spans="1:22" ht="15" thickBot="1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 spans="1:22" ht="15" thickBot="1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 spans="1:22" ht="15" thickBot="1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 spans="1:22" ht="15" thickBot="1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 spans="1:22" ht="15" thickBot="1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 spans="1:22" ht="15" thickBot="1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 spans="1:22" ht="15" thickBot="1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 spans="1:22" ht="15" thickBot="1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 spans="1:22" ht="15" thickBot="1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 spans="1:22" ht="15" thickBot="1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 spans="1:22" ht="15" thickBot="1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 spans="1:22" ht="15" thickBot="1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 spans="1:22" ht="15" thickBot="1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 spans="1:22" ht="15" thickBot="1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 spans="1:22" ht="15" thickBot="1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 spans="1:22" ht="15" thickBot="1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 spans="1:22" ht="15" thickBot="1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 spans="1:22" ht="15" thickBot="1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 spans="1:22" ht="15" thickBot="1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 spans="1:22" ht="15" thickBot="1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 spans="1:22" ht="15" thickBot="1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 spans="1:22" ht="15" thickBot="1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 spans="1:22" ht="15" thickBot="1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 spans="1:22" ht="15" thickBot="1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 spans="1:22" ht="15" thickBot="1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 spans="1:22" ht="15" thickBot="1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 spans="1:22" ht="15" thickBot="1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 spans="1:22" ht="15" thickBot="1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 spans="1:22" ht="15" thickBot="1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 spans="1:22" ht="15" thickBot="1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 spans="1:22" ht="15" thickBot="1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 spans="1:22" ht="15" thickBot="1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 spans="1:22" ht="15" thickBot="1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 spans="1:22" ht="15" thickBot="1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 spans="1:22" ht="15" thickBot="1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 spans="1:22" ht="15" thickBot="1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 spans="1:22" ht="15" thickBot="1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 spans="1:22" ht="15" thickBot="1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 spans="1:22" ht="15" thickBot="1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 spans="1:22" ht="15" thickBot="1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 spans="1:22" ht="15" thickBot="1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 spans="1:22" ht="15" thickBot="1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 spans="1:22" ht="15" thickBot="1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 spans="1:22" ht="15" thickBot="1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 spans="1:22" ht="15" thickBot="1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 spans="1:22" ht="15" thickBot="1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 spans="1:22" ht="15" thickBot="1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 spans="1:22" ht="15" thickBot="1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 spans="1:22" ht="15" thickBot="1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 spans="1:22" ht="15" thickBot="1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 spans="1:22" ht="15" thickBot="1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 spans="1:22" ht="15" thickBot="1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 spans="1:22" ht="15" thickBot="1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 spans="1:22" ht="15" thickBot="1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 spans="1:22" ht="15" thickBot="1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 spans="1:22" ht="15" thickBot="1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 spans="1:22" ht="15" thickBot="1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 spans="1:22" ht="15" thickBot="1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 spans="1:22" ht="15" thickBot="1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 spans="1:22" ht="15" thickBot="1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 spans="1:22" ht="15" thickBot="1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 spans="1:22" ht="15" thickBot="1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 spans="1:22" ht="15" thickBot="1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 spans="1:22" ht="15" thickBot="1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 spans="1:22" ht="15" thickBot="1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 spans="1:22" ht="15" thickBot="1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 spans="1:22" ht="15" thickBot="1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 spans="1:22" ht="15" thickBot="1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 spans="1:22" ht="15" thickBot="1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 spans="1:22" ht="15" thickBot="1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 spans="1:22" ht="15" thickBot="1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 spans="1:22" ht="15" thickBot="1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 spans="1:22" ht="15" thickBot="1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 spans="1:22" ht="15" thickBot="1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 spans="1:22" ht="15" thickBot="1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 spans="1:22" ht="15" thickBot="1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 spans="1:22" ht="15" thickBot="1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 spans="1:22" ht="15" thickBot="1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 spans="1:22" ht="15" thickBot="1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 spans="1:22" ht="15" thickBot="1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 spans="1:22" ht="15" thickBot="1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 spans="1:22" ht="15" thickBot="1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 spans="1:22" ht="15" thickBot="1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 spans="1:22" ht="15" thickBot="1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 spans="1:22" ht="15" thickBot="1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 spans="1:22" ht="15" thickBot="1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 spans="1:22" ht="15" thickBot="1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 spans="1:22" ht="15" thickBot="1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 spans="1:22" ht="15" thickBot="1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 spans="1:22" ht="15" thickBot="1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 spans="1:22" ht="15" thickBot="1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 spans="1:22" ht="15" thickBot="1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 spans="1:22" ht="15" thickBot="1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 spans="1:22" ht="15" thickBot="1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 spans="1:22" ht="15" thickBot="1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 spans="1:22" ht="15" thickBot="1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 spans="1:22" ht="15" thickBot="1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 spans="1:22" ht="15" thickBot="1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 spans="1:22" ht="15" thickBot="1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 spans="1:22" ht="15" thickBot="1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 spans="1:22" ht="15" thickBot="1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 spans="1:22" ht="15" thickBot="1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 spans="1:22" ht="15" thickBot="1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 spans="1:22" ht="15" thickBot="1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 spans="1:22" ht="15" thickBot="1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 spans="1:22" ht="15" thickBot="1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 spans="1:22" ht="15" thickBot="1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 spans="1:22" ht="15" thickBot="1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 spans="1:22" ht="15" thickBot="1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 spans="1:22" ht="15" thickBot="1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 spans="1:22" ht="15" thickBot="1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 spans="1:22" ht="15" thickBot="1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 spans="1:22" ht="15" thickBot="1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 spans="1:22" ht="15" thickBot="1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 spans="1:22" ht="15" thickBot="1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 spans="1:22" ht="15" thickBot="1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 spans="1:22" ht="15" thickBot="1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 spans="1:22" ht="15" thickBot="1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 spans="1:22" ht="15" thickBot="1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 spans="1:22" ht="15" thickBot="1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 spans="1:22" ht="15" thickBot="1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 spans="1:22" ht="15" thickBot="1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 spans="1:22" ht="15" thickBot="1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 spans="1:22" ht="15" thickBot="1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 spans="1:22" ht="15" thickBot="1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 spans="1:22" ht="15" thickBot="1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 spans="1:22" ht="15" thickBot="1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 spans="1:22" ht="15" thickBot="1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 spans="1:22" ht="15" thickBot="1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 spans="1:22" ht="15" thickBot="1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 spans="1:22" ht="15" thickBot="1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 spans="1:22" ht="15" thickBot="1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 spans="1:22" ht="15" thickBot="1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 spans="1:22" ht="15" thickBot="1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 spans="1:22" ht="15" thickBot="1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 spans="1:22" ht="15" thickBot="1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 spans="1:22" ht="15" thickBot="1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 spans="1:22" ht="15" thickBot="1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 spans="1:22" ht="15" thickBot="1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 spans="1:22" ht="15" thickBot="1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 spans="1:22" ht="15" thickBot="1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 spans="1:22" ht="15" thickBot="1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 spans="1:22" ht="15" thickBot="1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 spans="1:22" ht="15" thickBot="1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 spans="1:22" ht="15" thickBot="1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 spans="1:22" ht="15" thickBot="1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 spans="1:22" ht="15" thickBot="1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 spans="1:22" ht="15" thickBot="1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 spans="1:22" ht="15" thickBot="1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 spans="1:22" ht="15" thickBot="1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 spans="1:22" ht="15" thickBot="1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 spans="1:22" ht="15" thickBot="1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 spans="1:22" ht="15" thickBot="1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 spans="1:22" ht="15" thickBot="1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 spans="1:22" ht="15" thickBot="1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 spans="1:22" ht="15" thickBot="1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 spans="1:22" ht="15" thickBot="1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 spans="1:22" ht="15" thickBot="1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 spans="1:22" ht="15" thickBot="1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 spans="1:22" ht="15" thickBot="1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 spans="1:22" ht="15" thickBot="1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 spans="1:22" ht="15" thickBot="1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 spans="1:22" ht="15" thickBot="1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 spans="1:22" ht="15" thickBot="1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 spans="1:22" ht="15" thickBot="1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 spans="1:22" ht="15" thickBot="1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 spans="1:22" ht="15" thickBot="1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 spans="1:22" ht="15" thickBot="1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 spans="1:22" ht="15" thickBot="1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 spans="1:22" ht="15" thickBot="1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 spans="1:22" ht="15" thickBot="1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 spans="1:22" ht="15" thickBot="1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 spans="1:22" ht="15" thickBot="1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 spans="1:22" ht="15" thickBot="1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 spans="1:22" ht="15" thickBot="1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 spans="1:22" ht="15" thickBot="1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 spans="1:22" ht="15" thickBot="1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 spans="1:22" ht="15" thickBot="1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 spans="1:22" ht="15" thickBot="1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 spans="1:22" ht="15" thickBot="1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 spans="1:22" ht="15" thickBot="1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 spans="1:22" ht="15" thickBot="1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 spans="1:22" ht="15" thickBot="1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 spans="1:22" ht="15" thickBot="1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 spans="1:22" ht="15" thickBot="1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 spans="1:22" ht="15" thickBot="1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 spans="1:22" ht="15" thickBot="1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 spans="1:22" ht="15" thickBot="1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 spans="1:22" ht="15" thickBot="1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 spans="1:22" ht="15" thickBot="1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 spans="1:22" ht="15" thickBot="1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 spans="1:22" ht="15" thickBot="1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 spans="1:22" ht="15" thickBot="1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 spans="1:22" ht="15" thickBot="1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 spans="1:22" ht="15" thickBot="1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 spans="1:22" ht="15" thickBot="1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 spans="1:22" ht="15" thickBot="1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 spans="1:22" ht="15" thickBot="1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 spans="1:22" ht="15" thickBot="1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 spans="1:22" ht="15" thickBot="1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 spans="1:22" ht="15" thickBot="1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 spans="1:22" ht="15" thickBot="1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 spans="1:22" ht="15" thickBot="1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 spans="1:22" ht="15" thickBot="1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 spans="1:22" ht="15" thickBot="1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 spans="1:22" ht="15" thickBot="1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 spans="1:22" ht="15" thickBot="1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 spans="1:22" ht="15" thickBot="1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 spans="1:22" ht="15" thickBot="1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 spans="1:22" ht="15" thickBot="1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 spans="1:22" ht="15" thickBot="1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 spans="1:22" ht="15" thickBot="1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 spans="1:22" ht="15" thickBot="1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 spans="1:22" ht="15" thickBot="1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 spans="1:22" ht="15" thickBot="1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 spans="1:22" ht="15" thickBot="1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 spans="1:22" ht="15" thickBot="1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 spans="1:22" ht="15" thickBot="1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 spans="1:22" ht="15" thickBot="1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 spans="1:22" ht="15" thickBot="1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</row>
  </sheetData>
  <phoneticPr fontId="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Analises</vt:lpstr>
      <vt:lpstr>Instruções</vt:lpstr>
      <vt:lpstr>Planilha1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2026-06-26T13:10:31Z</dcterms:created>
  <dcterms:modified xsi:type="dcterms:W3CDTF">2026-06-29T13:48:04Z</dcterms:modified>
  <cp:category/>
</cp:coreProperties>
</file>